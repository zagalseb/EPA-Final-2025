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NTRADO_COMPLETO" sheetId="1" r:id="rId4"/>
  </sheets>
  <definedNames>
    <definedName hidden="1" localSheetId="0" name="_xlnm._FilterDatabase">CONCENTRADO_COMPLETO!$A$1:$AD$1000</definedName>
  </definedNames>
  <calcPr/>
</workbook>
</file>

<file path=xl/sharedStrings.xml><?xml version="1.0" encoding="utf-8"?>
<sst xmlns="http://schemas.openxmlformats.org/spreadsheetml/2006/main" count="1938" uniqueCount="125">
  <si>
    <t>Cuarto</t>
  </si>
  <si>
    <t>Team</t>
  </si>
  <si>
    <t>QB</t>
  </si>
  <si>
    <t>Nombre QB</t>
  </si>
  <si>
    <t>Equipo Jugador</t>
  </si>
  <si>
    <t>Jersey</t>
  </si>
  <si>
    <t>Nombre jugador</t>
  </si>
  <si>
    <t>Tipo Jugada</t>
  </si>
  <si>
    <t>Down</t>
  </si>
  <si>
    <t>DST</t>
  </si>
  <si>
    <t>Yarda Inicial</t>
  </si>
  <si>
    <t>Yarda Final</t>
  </si>
  <si>
    <t>Yardas G/P</t>
  </si>
  <si>
    <t>Resultado</t>
  </si>
  <si>
    <t>Resultado DST</t>
  </si>
  <si>
    <t>EPA BEFORE</t>
  </si>
  <si>
    <t>EPA AFTER</t>
  </si>
  <si>
    <t>EPA</t>
  </si>
  <si>
    <t>Jersey tacleador</t>
  </si>
  <si>
    <t>Equipo tacleo</t>
  </si>
  <si>
    <t>Nombre tacleador</t>
  </si>
  <si>
    <t>1er cuarto</t>
  </si>
  <si>
    <t>MTY</t>
  </si>
  <si>
    <t/>
  </si>
  <si>
    <t>Roberto Medina Leytaf</t>
  </si>
  <si>
    <t>Kickoff</t>
  </si>
  <si>
    <t>Touchback</t>
  </si>
  <si>
    <t>UANL</t>
  </si>
  <si>
    <t>Sergio Alberto Resendiz Espinoza</t>
  </si>
  <si>
    <t>Ángel Gabriel Alvarado Nervaez</t>
  </si>
  <si>
    <t>Carrera</t>
  </si>
  <si>
    <t>1er</t>
  </si>
  <si>
    <t>TD</t>
  </si>
  <si>
    <t>Reynaldo Adolfo Blanco Palomo</t>
  </si>
  <si>
    <t>PAT</t>
  </si>
  <si>
    <t>PAT fallada</t>
  </si>
  <si>
    <t>Regreso</t>
  </si>
  <si>
    <t>Fernando Tonda Urias</t>
  </si>
  <si>
    <t>RK</t>
  </si>
  <si>
    <t>1er down</t>
  </si>
  <si>
    <t>Gabriel Caballero Parra</t>
  </si>
  <si>
    <t>Fernando Sarabia Rodrígues</t>
  </si>
  <si>
    <t>Víctor Hugo Palacios Martínez</t>
  </si>
  <si>
    <t>Pase</t>
  </si>
  <si>
    <t>2do down</t>
  </si>
  <si>
    <t>Juan Pablo Mandujano Castruita</t>
  </si>
  <si>
    <t>Miguel Ángel Lozano Ortiz</t>
  </si>
  <si>
    <t>2do</t>
  </si>
  <si>
    <t>Rogelio Cepeda García</t>
  </si>
  <si>
    <t>Alejandro Cruz Parra</t>
  </si>
  <si>
    <t>Gael Reyes Grande</t>
  </si>
  <si>
    <t>3er down</t>
  </si>
  <si>
    <t>Edwyn De Jesús Caballero Salais</t>
  </si>
  <si>
    <t>Diego Blade Elizondo</t>
  </si>
  <si>
    <t>Sack</t>
  </si>
  <si>
    <t>3ro</t>
  </si>
  <si>
    <t>4to down</t>
  </si>
  <si>
    <t>Mauricio Fernández Salazar</t>
  </si>
  <si>
    <t>Punt</t>
  </si>
  <si>
    <t>4to</t>
  </si>
  <si>
    <t>Recepción libre</t>
  </si>
  <si>
    <t>Eduardo Martínez Alvarado</t>
  </si>
  <si>
    <t>Eduardo Roiz Barrón</t>
  </si>
  <si>
    <t>Patricio Satisteban Villarreal</t>
  </si>
  <si>
    <t>Luis Torres Fierro</t>
  </si>
  <si>
    <t>Jorge Luis Chaib De León</t>
  </si>
  <si>
    <t>Mauricio Martínez García</t>
  </si>
  <si>
    <t>Renzo Bibiano Aguirre</t>
  </si>
  <si>
    <t>Field goal</t>
  </si>
  <si>
    <t>FG bueno</t>
  </si>
  <si>
    <t>Emiliano García Ortega</t>
  </si>
  <si>
    <t>Benjamín Huez Santacruz</t>
  </si>
  <si>
    <t>Mauricio Santos Guerra</t>
  </si>
  <si>
    <t>Patricio de la Rosa Pérez</t>
  </si>
  <si>
    <t>Castigo a la ofensiva</t>
  </si>
  <si>
    <t>Pase INT</t>
  </si>
  <si>
    <t>INT</t>
  </si>
  <si>
    <t>Daniel Santos Guerra</t>
  </si>
  <si>
    <t>Balón recuperado a la defensiva</t>
  </si>
  <si>
    <t>Adrián Patricio Flores Guajardo</t>
  </si>
  <si>
    <t>Rodrigo Gabriel Aceves Arce</t>
  </si>
  <si>
    <t>Marco Vinicio García Moreno</t>
  </si>
  <si>
    <t>Pase incompleto</t>
  </si>
  <si>
    <t>Luis Ángel Olvera Muñoz</t>
  </si>
  <si>
    <t>2do cuarto</t>
  </si>
  <si>
    <t>Jonathan Farrel Montes Guzmán</t>
  </si>
  <si>
    <t>Edgar Tadeo Bocado Cepeda</t>
  </si>
  <si>
    <t>Aldo Herrera Montoya</t>
  </si>
  <si>
    <t>RP</t>
  </si>
  <si>
    <t>Rubén David Rodríguez Treviño</t>
  </si>
  <si>
    <t>Diogo Fernandez Zanchet</t>
  </si>
  <si>
    <t>Emilio Carrillo Ceballos</t>
  </si>
  <si>
    <t>Christian Espinosa Vázquez</t>
  </si>
  <si>
    <t>Alejandro Elizondo González</t>
  </si>
  <si>
    <t>PAT exitosa</t>
  </si>
  <si>
    <t>Félix de León Rodríguez</t>
  </si>
  <si>
    <t>Muffed punt</t>
  </si>
  <si>
    <t>Cristobal Montemayor Moctezuma</t>
  </si>
  <si>
    <t>Castigo a la defensiva</t>
  </si>
  <si>
    <t>Wilfredo Fausto Valdez</t>
  </si>
  <si>
    <t>Sergio Miguel Velázquez García</t>
  </si>
  <si>
    <t>Luis Ángel Cavazos Méndez</t>
  </si>
  <si>
    <t>3er cuarto</t>
  </si>
  <si>
    <t>3er cuato</t>
  </si>
  <si>
    <t>Enrique Navarrete Alanís</t>
  </si>
  <si>
    <t>Repetir KO</t>
  </si>
  <si>
    <t>Ernesto Guevara Treviño</t>
  </si>
  <si>
    <t>Gabriel Rivera Castillo</t>
  </si>
  <si>
    <t>Cambio posesión</t>
  </si>
  <si>
    <t>3er caurto</t>
  </si>
  <si>
    <t>Iván Covarrubias Elizondo</t>
  </si>
  <si>
    <t>Erick Landeros Castillo</t>
  </si>
  <si>
    <t>4to cuarto</t>
  </si>
  <si>
    <t>2-PT</t>
  </si>
  <si>
    <t>2-PT fallada</t>
  </si>
  <si>
    <t>Ovidio Varela Pedroza</t>
  </si>
  <si>
    <t>Cruz Alberto Rodríguez García</t>
  </si>
  <si>
    <t>Mikel Exal Delgado Saenz</t>
  </si>
  <si>
    <t>José Alfonso Canthu Hinojosa</t>
  </si>
  <si>
    <t>Alex Gabriel Estupiñán de León</t>
  </si>
  <si>
    <t>Daniel Carranza Sepulveda</t>
  </si>
  <si>
    <t>Pablo Treviño Alvarado</t>
  </si>
  <si>
    <t>FG fallido</t>
  </si>
  <si>
    <t>Rodilla en el Piso</t>
  </si>
  <si>
    <t>Fin del juego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</si>
</sst>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5.0"/>
      <color theme="1"/>
      <name val="Aptos Narrow"/>
    </font>
    <font>
      <b/>
      <sz val="15.0"/>
      <color theme="1"/>
      <name val="Arial"/>
    </font>
    <font>
      <b/>
      <sz val="11.0"/>
      <color theme="1"/>
      <name val="Calibri"/>
    </font>
    <font>
      <sz val="11.0"/>
      <color theme="1"/>
      <name val="Aptos Narrow"/>
    </font>
    <font>
      <sz val="11.0"/>
      <color rgb="FF000000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3" numFmtId="2" xfId="0" applyAlignment="1" applyBorder="1" applyFont="1" applyNumberFormat="1">
      <alignment horizontal="center" readingOrder="0" shrinkToFit="0" vertical="top" wrapText="0"/>
    </xf>
    <xf borderId="0" fillId="0" fontId="4" numFmtId="0" xfId="0" applyFont="1"/>
    <xf borderId="0" fillId="0" fontId="5" numFmtId="2" xfId="0" applyAlignment="1" applyFont="1" applyNumberFormat="1">
      <alignment readingOrder="0" shrinkToFit="0" vertical="bottom" wrapText="0"/>
    </xf>
    <xf borderId="0" fillId="0" fontId="5" numFmtId="2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/>
    </xf>
    <xf borderId="0" fillId="0" fontId="5" numFmtId="2" xfId="0" applyAlignment="1" applyFont="1" applyNumberFormat="1">
      <alignment shrinkToFit="0" vertical="bottom" wrapText="0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9.88"/>
    <col customWidth="1" min="3" max="3" width="7.25"/>
    <col customWidth="1" min="4" max="4" width="28.75"/>
    <col customWidth="1" min="5" max="5" width="22.5"/>
    <col customWidth="1" min="6" max="6" width="11.38"/>
    <col customWidth="1" min="7" max="7" width="28.88"/>
    <col customWidth="1" min="8" max="8" width="27.25"/>
    <col customWidth="1" min="9" max="9" width="10.25"/>
    <col customWidth="1" min="10" max="10" width="8.5"/>
    <col customWidth="1" min="11" max="11" width="18.13"/>
    <col customWidth="1" min="12" max="12" width="16.88"/>
    <col customWidth="1" min="13" max="13" width="16.75"/>
    <col customWidth="1" min="14" max="14" width="15.63"/>
    <col customWidth="1" min="15" max="15" width="5.88"/>
    <col customWidth="1" min="16" max="16" width="12.63"/>
    <col customWidth="1" min="17" max="17" width="11.5"/>
    <col customWidth="1" min="18" max="18" width="8.0"/>
    <col customWidth="1" min="19" max="19" width="23.25"/>
    <col customWidth="1" min="20" max="20" width="19.88"/>
    <col customWidth="1" min="21" max="21" width="28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/>
      <c r="W1" s="4"/>
      <c r="X1" s="4"/>
      <c r="Y1" s="4"/>
      <c r="Z1" s="4"/>
      <c r="AA1" s="4"/>
      <c r="AB1" s="4"/>
      <c r="AC1" s="4"/>
      <c r="AD1" s="4"/>
    </row>
    <row r="2" ht="14.25" customHeight="1">
      <c r="A2" s="4" t="s">
        <v>21</v>
      </c>
      <c r="B2" s="4" t="s">
        <v>22</v>
      </c>
      <c r="C2" s="4" t="s">
        <v>23</v>
      </c>
      <c r="D2" s="4" t="s">
        <v>23</v>
      </c>
      <c r="E2" s="4" t="s">
        <v>22</v>
      </c>
      <c r="F2" s="4">
        <v>28.0</v>
      </c>
      <c r="G2" s="4" t="s">
        <v>24</v>
      </c>
      <c r="H2" s="4" t="s">
        <v>25</v>
      </c>
      <c r="I2" s="4" t="s">
        <v>23</v>
      </c>
      <c r="J2" s="4"/>
      <c r="K2" s="4">
        <v>35.0</v>
      </c>
      <c r="L2" s="4">
        <v>0.0</v>
      </c>
      <c r="M2" s="4">
        <v>65.0</v>
      </c>
      <c r="N2" s="4" t="s">
        <v>26</v>
      </c>
      <c r="O2" s="4"/>
      <c r="P2" s="5">
        <v>0.0</v>
      </c>
      <c r="Q2" s="6">
        <v>0.884959</v>
      </c>
      <c r="R2" s="6">
        <f>Q2-P2</f>
        <v>0.884959</v>
      </c>
      <c r="S2" s="4" t="s">
        <v>23</v>
      </c>
      <c r="T2" s="4" t="s">
        <v>23</v>
      </c>
      <c r="U2" s="4" t="s">
        <v>23</v>
      </c>
      <c r="V2" s="4"/>
      <c r="W2" s="4"/>
      <c r="X2" s="4"/>
      <c r="Y2" s="4"/>
      <c r="Z2" s="4"/>
      <c r="AA2" s="4"/>
      <c r="AB2" s="4"/>
      <c r="AC2" s="4"/>
      <c r="AD2" s="4"/>
    </row>
    <row r="3" ht="14.25" customHeight="1">
      <c r="A3" s="4" t="s">
        <v>21</v>
      </c>
      <c r="B3" s="4" t="s">
        <v>27</v>
      </c>
      <c r="C3" s="4">
        <v>10.0</v>
      </c>
      <c r="D3" s="4" t="s">
        <v>28</v>
      </c>
      <c r="E3" s="4" t="s">
        <v>27</v>
      </c>
      <c r="F3" s="4">
        <v>31.0</v>
      </c>
      <c r="G3" s="4" t="s">
        <v>29</v>
      </c>
      <c r="H3" s="4" t="s">
        <v>30</v>
      </c>
      <c r="I3" s="4" t="s">
        <v>31</v>
      </c>
      <c r="J3" s="7">
        <v>10.0</v>
      </c>
      <c r="K3" s="4">
        <v>25.0</v>
      </c>
      <c r="L3" s="4">
        <v>0.0</v>
      </c>
      <c r="M3" s="4">
        <v>75.0</v>
      </c>
      <c r="N3" s="4" t="s">
        <v>32</v>
      </c>
      <c r="O3" s="4"/>
      <c r="P3" s="6">
        <v>0.884959</v>
      </c>
      <c r="Q3" s="6">
        <v>7.0</v>
      </c>
      <c r="R3" s="6">
        <v>6.115041</v>
      </c>
      <c r="S3" s="4" t="s">
        <v>23</v>
      </c>
      <c r="T3" s="4" t="s">
        <v>23</v>
      </c>
      <c r="U3" s="4" t="s">
        <v>23</v>
      </c>
      <c r="V3" s="4"/>
      <c r="W3" s="4"/>
      <c r="X3" s="4"/>
      <c r="Y3" s="4"/>
      <c r="Z3" s="4"/>
      <c r="AA3" s="4"/>
      <c r="AB3" s="4"/>
      <c r="AC3" s="4"/>
      <c r="AD3" s="4"/>
    </row>
    <row r="4" ht="14.25" customHeight="1">
      <c r="A4" s="4" t="s">
        <v>21</v>
      </c>
      <c r="B4" s="4" t="s">
        <v>27</v>
      </c>
      <c r="C4" s="4" t="s">
        <v>23</v>
      </c>
      <c r="D4" s="4" t="s">
        <v>23</v>
      </c>
      <c r="E4" s="4" t="s">
        <v>27</v>
      </c>
      <c r="F4" s="4">
        <v>42.0</v>
      </c>
      <c r="G4" s="4" t="s">
        <v>33</v>
      </c>
      <c r="H4" s="4" t="s">
        <v>34</v>
      </c>
      <c r="I4" s="4" t="s">
        <v>23</v>
      </c>
      <c r="J4" s="4"/>
      <c r="K4" s="4">
        <v>-10.0</v>
      </c>
      <c r="L4" s="4">
        <v>0.0</v>
      </c>
      <c r="M4" s="4">
        <v>10.0</v>
      </c>
      <c r="N4" s="4" t="s">
        <v>35</v>
      </c>
      <c r="O4" s="4"/>
      <c r="P4" s="8"/>
      <c r="Q4" s="8"/>
      <c r="R4" s="8"/>
      <c r="S4" s="4" t="s">
        <v>23</v>
      </c>
      <c r="T4" s="4" t="s">
        <v>23</v>
      </c>
      <c r="U4" s="4" t="s">
        <v>23</v>
      </c>
      <c r="V4" s="4"/>
      <c r="W4" s="4"/>
      <c r="X4" s="4"/>
      <c r="Y4" s="4"/>
      <c r="Z4" s="4"/>
      <c r="AA4" s="4"/>
      <c r="AB4" s="4"/>
      <c r="AC4" s="4"/>
      <c r="AD4" s="4"/>
    </row>
    <row r="5" ht="14.25" customHeight="1">
      <c r="A5" s="4" t="s">
        <v>21</v>
      </c>
      <c r="B5" s="4" t="s">
        <v>27</v>
      </c>
      <c r="C5" s="4" t="s">
        <v>23</v>
      </c>
      <c r="D5" s="4" t="s">
        <v>23</v>
      </c>
      <c r="E5" s="4" t="s">
        <v>27</v>
      </c>
      <c r="F5" s="4">
        <v>42.0</v>
      </c>
      <c r="G5" s="4" t="s">
        <v>33</v>
      </c>
      <c r="H5" s="4" t="s">
        <v>25</v>
      </c>
      <c r="I5" s="4" t="s">
        <v>23</v>
      </c>
      <c r="J5" s="4"/>
      <c r="K5" s="4">
        <v>35.0</v>
      </c>
      <c r="L5" s="4">
        <v>-3.0</v>
      </c>
      <c r="M5" s="4">
        <v>62.0</v>
      </c>
      <c r="N5" s="4" t="s">
        <v>36</v>
      </c>
      <c r="O5" s="4"/>
      <c r="P5" s="8"/>
      <c r="Q5" s="8"/>
      <c r="R5" s="8"/>
      <c r="S5" s="4" t="s">
        <v>23</v>
      </c>
      <c r="T5" s="4" t="s">
        <v>23</v>
      </c>
      <c r="U5" s="4" t="s">
        <v>23</v>
      </c>
      <c r="V5" s="4"/>
      <c r="W5" s="4"/>
      <c r="X5" s="4"/>
      <c r="Y5" s="4"/>
      <c r="Z5" s="4"/>
      <c r="AA5" s="4"/>
      <c r="AB5" s="4"/>
      <c r="AC5" s="4"/>
      <c r="AD5" s="4"/>
    </row>
    <row r="6" ht="14.25" customHeight="1">
      <c r="A6" s="4" t="s">
        <v>21</v>
      </c>
      <c r="B6" s="4" t="s">
        <v>22</v>
      </c>
      <c r="C6" s="4" t="s">
        <v>23</v>
      </c>
      <c r="D6" s="4" t="s">
        <v>23</v>
      </c>
      <c r="E6" s="4" t="s">
        <v>22</v>
      </c>
      <c r="F6" s="4">
        <v>81.0</v>
      </c>
      <c r="G6" s="4" t="s">
        <v>37</v>
      </c>
      <c r="H6" s="4" t="s">
        <v>38</v>
      </c>
      <c r="I6" s="4" t="s">
        <v>23</v>
      </c>
      <c r="J6" s="4"/>
      <c r="K6" s="4">
        <v>3.0</v>
      </c>
      <c r="L6" s="4">
        <v>20.0</v>
      </c>
      <c r="M6" s="4">
        <v>17.0</v>
      </c>
      <c r="N6" s="4" t="s">
        <v>39</v>
      </c>
      <c r="O6" s="4"/>
      <c r="P6" s="5">
        <v>0.0</v>
      </c>
      <c r="Q6" s="5">
        <v>0.473</v>
      </c>
      <c r="R6" s="6">
        <f>Q6-P6</f>
        <v>0.473</v>
      </c>
      <c r="S6" s="4">
        <v>28.0</v>
      </c>
      <c r="T6" s="4" t="s">
        <v>27</v>
      </c>
      <c r="U6" s="4" t="s">
        <v>40</v>
      </c>
      <c r="V6" s="4"/>
      <c r="W6" s="4"/>
      <c r="X6" s="4"/>
      <c r="Y6" s="4"/>
      <c r="Z6" s="4"/>
      <c r="AA6" s="4"/>
      <c r="AB6" s="4"/>
      <c r="AC6" s="4"/>
      <c r="AD6" s="4"/>
    </row>
    <row r="7" ht="14.25" customHeight="1">
      <c r="A7" s="4" t="s">
        <v>21</v>
      </c>
      <c r="B7" s="4" t="s">
        <v>22</v>
      </c>
      <c r="C7" s="4">
        <v>15.0</v>
      </c>
      <c r="D7" s="4" t="s">
        <v>41</v>
      </c>
      <c r="E7" s="4" t="s">
        <v>22</v>
      </c>
      <c r="F7" s="4">
        <v>4.0</v>
      </c>
      <c r="G7" s="4" t="s">
        <v>42</v>
      </c>
      <c r="H7" s="4" t="s">
        <v>43</v>
      </c>
      <c r="I7" s="4" t="s">
        <v>31</v>
      </c>
      <c r="J7" s="7">
        <v>10.0</v>
      </c>
      <c r="K7" s="4">
        <v>20.0</v>
      </c>
      <c r="L7" s="4">
        <v>26.0</v>
      </c>
      <c r="M7" s="4">
        <v>6.0</v>
      </c>
      <c r="N7" s="4" t="s">
        <v>44</v>
      </c>
      <c r="O7" s="4">
        <f t="shared" ref="O7:O175" si="1">J8</f>
        <v>4</v>
      </c>
      <c r="P7" s="6">
        <v>0.472631</v>
      </c>
      <c r="Q7" s="6">
        <v>0.74378</v>
      </c>
      <c r="R7" s="6">
        <v>0.271149</v>
      </c>
      <c r="S7" s="4">
        <v>35.0</v>
      </c>
      <c r="T7" s="4" t="s">
        <v>27</v>
      </c>
      <c r="U7" s="4" t="s">
        <v>45</v>
      </c>
      <c r="V7" s="4"/>
      <c r="W7" s="4"/>
      <c r="X7" s="4"/>
      <c r="Y7" s="4"/>
      <c r="Z7" s="4"/>
      <c r="AA7" s="4"/>
      <c r="AB7" s="4"/>
      <c r="AC7" s="4"/>
      <c r="AD7" s="4"/>
    </row>
    <row r="8" ht="14.25" customHeight="1">
      <c r="A8" s="4" t="s">
        <v>21</v>
      </c>
      <c r="B8" s="4" t="s">
        <v>22</v>
      </c>
      <c r="C8" s="4">
        <v>15.0</v>
      </c>
      <c r="D8" s="4" t="s">
        <v>41</v>
      </c>
      <c r="E8" s="4" t="s">
        <v>22</v>
      </c>
      <c r="F8" s="4">
        <v>16.0</v>
      </c>
      <c r="G8" s="4" t="s">
        <v>46</v>
      </c>
      <c r="H8" s="4" t="s">
        <v>43</v>
      </c>
      <c r="I8" s="4" t="s">
        <v>47</v>
      </c>
      <c r="J8" s="7">
        <v>4.0</v>
      </c>
      <c r="K8" s="4">
        <v>26.0</v>
      </c>
      <c r="L8" s="4">
        <v>36.0</v>
      </c>
      <c r="M8" s="4">
        <v>10.0</v>
      </c>
      <c r="N8" s="4" t="s">
        <v>39</v>
      </c>
      <c r="O8" s="4">
        <f t="shared" si="1"/>
        <v>10</v>
      </c>
      <c r="P8" s="6">
        <v>0.74378</v>
      </c>
      <c r="Q8" s="6">
        <v>1.762387</v>
      </c>
      <c r="R8" s="6">
        <v>1.018607</v>
      </c>
      <c r="S8" s="4">
        <v>47.0</v>
      </c>
      <c r="T8" s="4" t="s">
        <v>27</v>
      </c>
      <c r="U8" s="4" t="s">
        <v>48</v>
      </c>
      <c r="V8" s="4"/>
      <c r="W8" s="4"/>
      <c r="X8" s="4"/>
      <c r="Y8" s="4"/>
      <c r="Z8" s="4"/>
      <c r="AA8" s="4"/>
      <c r="AB8" s="4"/>
      <c r="AC8" s="4"/>
      <c r="AD8" s="4"/>
    </row>
    <row r="9" ht="14.25" customHeight="1">
      <c r="A9" s="4" t="s">
        <v>21</v>
      </c>
      <c r="B9" s="4" t="s">
        <v>22</v>
      </c>
      <c r="C9" s="4">
        <v>15.0</v>
      </c>
      <c r="D9" s="4" t="s">
        <v>41</v>
      </c>
      <c r="E9" s="4" t="s">
        <v>22</v>
      </c>
      <c r="F9" s="4">
        <v>23.0</v>
      </c>
      <c r="G9" s="4" t="s">
        <v>49</v>
      </c>
      <c r="H9" s="4" t="s">
        <v>30</v>
      </c>
      <c r="I9" s="4" t="s">
        <v>31</v>
      </c>
      <c r="J9" s="7">
        <v>10.0</v>
      </c>
      <c r="K9" s="4">
        <v>36.0</v>
      </c>
      <c r="L9" s="4">
        <v>32.0</v>
      </c>
      <c r="M9" s="4">
        <v>-4.0</v>
      </c>
      <c r="N9" s="4" t="s">
        <v>44</v>
      </c>
      <c r="O9" s="4">
        <f t="shared" si="1"/>
        <v>14</v>
      </c>
      <c r="P9" s="6">
        <v>1.762387</v>
      </c>
      <c r="Q9" s="6">
        <v>0.703018</v>
      </c>
      <c r="R9" s="6">
        <v>-1.05937</v>
      </c>
      <c r="S9" s="4">
        <v>2.0</v>
      </c>
      <c r="T9" s="4" t="s">
        <v>27</v>
      </c>
      <c r="U9" s="4" t="s">
        <v>50</v>
      </c>
      <c r="V9" s="4"/>
      <c r="W9" s="4"/>
      <c r="X9" s="4"/>
      <c r="Y9" s="4"/>
      <c r="Z9" s="4"/>
      <c r="AA9" s="4"/>
      <c r="AB9" s="4"/>
      <c r="AC9" s="4"/>
      <c r="AD9" s="4"/>
    </row>
    <row r="10" ht="14.25" customHeight="1">
      <c r="A10" s="4" t="s">
        <v>21</v>
      </c>
      <c r="B10" s="4" t="s">
        <v>22</v>
      </c>
      <c r="C10" s="4">
        <v>15.0</v>
      </c>
      <c r="D10" s="4" t="s">
        <v>41</v>
      </c>
      <c r="E10" s="4" t="s">
        <v>22</v>
      </c>
      <c r="F10" s="4">
        <v>23.0</v>
      </c>
      <c r="G10" s="4" t="s">
        <v>49</v>
      </c>
      <c r="H10" s="4" t="s">
        <v>43</v>
      </c>
      <c r="I10" s="4" t="s">
        <v>47</v>
      </c>
      <c r="J10" s="7">
        <v>14.0</v>
      </c>
      <c r="K10" s="4">
        <v>32.0</v>
      </c>
      <c r="L10" s="4">
        <v>41.0</v>
      </c>
      <c r="M10" s="4">
        <v>9.0</v>
      </c>
      <c r="N10" s="4" t="s">
        <v>51</v>
      </c>
      <c r="O10" s="4">
        <f t="shared" si="1"/>
        <v>5</v>
      </c>
      <c r="P10" s="6">
        <v>0.703018</v>
      </c>
      <c r="Q10" s="6">
        <v>1.104378</v>
      </c>
      <c r="R10" s="6">
        <v>0.401361</v>
      </c>
      <c r="S10" s="4">
        <v>29.0</v>
      </c>
      <c r="T10" s="4" t="s">
        <v>27</v>
      </c>
      <c r="U10" s="4" t="s">
        <v>52</v>
      </c>
      <c r="V10" s="4"/>
      <c r="W10" s="4"/>
      <c r="X10" s="4"/>
      <c r="Y10" s="4"/>
      <c r="Z10" s="4"/>
      <c r="AA10" s="4"/>
      <c r="AB10" s="4"/>
      <c r="AC10" s="4"/>
      <c r="AD10" s="4"/>
    </row>
    <row r="11" ht="14.25" customHeight="1">
      <c r="A11" s="4" t="s">
        <v>21</v>
      </c>
      <c r="B11" s="4" t="s">
        <v>22</v>
      </c>
      <c r="C11" s="4">
        <v>15.0</v>
      </c>
      <c r="D11" s="4" t="s">
        <v>41</v>
      </c>
      <c r="E11" s="4" t="s">
        <v>27</v>
      </c>
      <c r="F11" s="4">
        <v>12.0</v>
      </c>
      <c r="G11" s="4" t="s">
        <v>53</v>
      </c>
      <c r="H11" s="4" t="s">
        <v>54</v>
      </c>
      <c r="I11" s="4" t="s">
        <v>55</v>
      </c>
      <c r="J11" s="4">
        <f t="shared" ref="J11:J12" si="2">J10-M10</f>
        <v>5</v>
      </c>
      <c r="K11" s="4">
        <v>41.0</v>
      </c>
      <c r="L11" s="4">
        <v>35.0</v>
      </c>
      <c r="M11" s="4">
        <v>-6.0</v>
      </c>
      <c r="N11" s="4" t="s">
        <v>56</v>
      </c>
      <c r="O11" s="4">
        <f t="shared" si="1"/>
        <v>11</v>
      </c>
      <c r="P11" s="6">
        <v>1.104378</v>
      </c>
      <c r="Q11" s="6">
        <v>-1.16675</v>
      </c>
      <c r="R11" s="6">
        <v>-2.27113</v>
      </c>
      <c r="S11" s="4" t="s">
        <v>23</v>
      </c>
      <c r="T11" s="4" t="s">
        <v>23</v>
      </c>
      <c r="U11" s="4" t="s">
        <v>23</v>
      </c>
      <c r="V11" s="4"/>
      <c r="W11" s="4"/>
      <c r="X11" s="4"/>
      <c r="Y11" s="4"/>
      <c r="Z11" s="4"/>
      <c r="AA11" s="4"/>
      <c r="AB11" s="4"/>
      <c r="AC11" s="4"/>
      <c r="AD11" s="4"/>
    </row>
    <row r="12" ht="14.25" customHeight="1">
      <c r="A12" s="4" t="s">
        <v>21</v>
      </c>
      <c r="B12" s="4" t="s">
        <v>22</v>
      </c>
      <c r="C12" s="4" t="s">
        <v>23</v>
      </c>
      <c r="D12" s="4" t="s">
        <v>23</v>
      </c>
      <c r="E12" s="4" t="s">
        <v>22</v>
      </c>
      <c r="F12" s="4">
        <v>87.0</v>
      </c>
      <c r="G12" s="4" t="s">
        <v>57</v>
      </c>
      <c r="H12" s="4" t="s">
        <v>58</v>
      </c>
      <c r="I12" s="4" t="s">
        <v>59</v>
      </c>
      <c r="J12" s="4">
        <f t="shared" si="2"/>
        <v>11</v>
      </c>
      <c r="K12" s="4">
        <v>22.0</v>
      </c>
      <c r="L12" s="4">
        <v>-25.0</v>
      </c>
      <c r="M12" s="4">
        <v>53.0</v>
      </c>
      <c r="N12" s="4" t="s">
        <v>60</v>
      </c>
      <c r="O12" s="4">
        <f t="shared" si="1"/>
        <v>10</v>
      </c>
      <c r="P12" s="6">
        <v>-1.16675</v>
      </c>
      <c r="Q12" s="5">
        <v>-0.974</v>
      </c>
      <c r="R12" s="6">
        <f>Q12-P12</f>
        <v>0.19275</v>
      </c>
      <c r="S12" s="4" t="s">
        <v>23</v>
      </c>
      <c r="T12" s="4" t="s">
        <v>23</v>
      </c>
      <c r="U12" s="4" t="s">
        <v>23</v>
      </c>
      <c r="V12" s="4"/>
      <c r="W12" s="4"/>
      <c r="X12" s="4"/>
      <c r="Y12" s="4"/>
      <c r="Z12" s="4"/>
      <c r="AA12" s="4"/>
      <c r="AB12" s="4"/>
      <c r="AC12" s="4"/>
      <c r="AD12" s="4"/>
    </row>
    <row r="13" ht="14.25" customHeight="1">
      <c r="A13" s="4" t="s">
        <v>21</v>
      </c>
      <c r="B13" s="4" t="s">
        <v>27</v>
      </c>
      <c r="C13" s="4">
        <v>10.0</v>
      </c>
      <c r="D13" s="4" t="s">
        <v>28</v>
      </c>
      <c r="E13" s="4" t="s">
        <v>27</v>
      </c>
      <c r="F13" s="4">
        <v>21.0</v>
      </c>
      <c r="G13" s="4" t="s">
        <v>61</v>
      </c>
      <c r="H13" s="4" t="s">
        <v>30</v>
      </c>
      <c r="I13" s="4" t="s">
        <v>31</v>
      </c>
      <c r="J13" s="7">
        <v>10.0</v>
      </c>
      <c r="K13" s="4">
        <v>26.0</v>
      </c>
      <c r="L13" s="4">
        <v>30.0</v>
      </c>
      <c r="M13" s="4">
        <v>4.0</v>
      </c>
      <c r="N13" s="4" t="s">
        <v>44</v>
      </c>
      <c r="O13" s="4">
        <f t="shared" si="1"/>
        <v>6</v>
      </c>
      <c r="P13" s="6">
        <v>0.974109</v>
      </c>
      <c r="Q13" s="6">
        <v>0.901683</v>
      </c>
      <c r="R13" s="6">
        <v>-0.07243</v>
      </c>
      <c r="S13" s="4">
        <v>55.0</v>
      </c>
      <c r="T13" s="4" t="s">
        <v>22</v>
      </c>
      <c r="U13" s="4" t="s">
        <v>62</v>
      </c>
      <c r="V13" s="4"/>
      <c r="W13" s="4"/>
      <c r="X13" s="4"/>
      <c r="Y13" s="4"/>
      <c r="Z13" s="4"/>
      <c r="AA13" s="4"/>
      <c r="AB13" s="4"/>
      <c r="AC13" s="4"/>
      <c r="AD13" s="4"/>
    </row>
    <row r="14" ht="14.25" customHeight="1">
      <c r="A14" s="4" t="s">
        <v>21</v>
      </c>
      <c r="B14" s="4" t="s">
        <v>27</v>
      </c>
      <c r="C14" s="4">
        <v>10.0</v>
      </c>
      <c r="D14" s="4" t="s">
        <v>28</v>
      </c>
      <c r="E14" s="4" t="s">
        <v>27</v>
      </c>
      <c r="F14" s="4">
        <v>21.0</v>
      </c>
      <c r="G14" s="4" t="s">
        <v>61</v>
      </c>
      <c r="H14" s="4" t="s">
        <v>30</v>
      </c>
      <c r="I14" s="4" t="s">
        <v>47</v>
      </c>
      <c r="J14" s="4">
        <f>J13-M13</f>
        <v>6</v>
      </c>
      <c r="K14" s="4">
        <v>30.0</v>
      </c>
      <c r="L14" s="4">
        <v>47.0</v>
      </c>
      <c r="M14" s="4">
        <v>17.0</v>
      </c>
      <c r="N14" s="4" t="s">
        <v>39</v>
      </c>
      <c r="O14" s="4">
        <f t="shared" si="1"/>
        <v>10</v>
      </c>
      <c r="P14" s="6">
        <v>0.901683</v>
      </c>
      <c r="Q14" s="6">
        <v>2.539039</v>
      </c>
      <c r="R14" s="6">
        <v>1.637356</v>
      </c>
      <c r="S14" s="4">
        <v>29.0</v>
      </c>
      <c r="T14" s="4" t="s">
        <v>22</v>
      </c>
      <c r="U14" s="4" t="s">
        <v>63</v>
      </c>
      <c r="V14" s="4"/>
      <c r="W14" s="4"/>
      <c r="X14" s="4"/>
      <c r="Y14" s="4"/>
      <c r="Z14" s="4"/>
      <c r="AA14" s="4"/>
      <c r="AB14" s="4"/>
      <c r="AC14" s="4"/>
      <c r="AD14" s="4"/>
    </row>
    <row r="15" ht="14.25" customHeight="1">
      <c r="A15" s="4" t="s">
        <v>21</v>
      </c>
      <c r="B15" s="4" t="s">
        <v>27</v>
      </c>
      <c r="C15" s="4">
        <v>10.0</v>
      </c>
      <c r="D15" s="4" t="s">
        <v>28</v>
      </c>
      <c r="E15" s="4" t="s">
        <v>27</v>
      </c>
      <c r="F15" s="4">
        <v>31.0</v>
      </c>
      <c r="G15" s="4" t="s">
        <v>29</v>
      </c>
      <c r="H15" s="4" t="s">
        <v>30</v>
      </c>
      <c r="I15" s="4" t="s">
        <v>31</v>
      </c>
      <c r="J15" s="7">
        <v>10.0</v>
      </c>
      <c r="K15" s="4">
        <v>47.0</v>
      </c>
      <c r="L15" s="4">
        <v>-47.0</v>
      </c>
      <c r="M15" s="4">
        <v>6.0</v>
      </c>
      <c r="N15" s="4" t="s">
        <v>44</v>
      </c>
      <c r="O15" s="4">
        <f t="shared" si="1"/>
        <v>4</v>
      </c>
      <c r="P15" s="6">
        <v>2.539039</v>
      </c>
      <c r="Q15" s="6">
        <v>2.768876</v>
      </c>
      <c r="R15" s="6">
        <v>0.229837</v>
      </c>
      <c r="S15" s="4">
        <v>29.0</v>
      </c>
      <c r="T15" s="4" t="s">
        <v>22</v>
      </c>
      <c r="U15" s="4" t="s">
        <v>63</v>
      </c>
      <c r="V15" s="4"/>
      <c r="W15" s="4"/>
      <c r="X15" s="4"/>
      <c r="Y15" s="4"/>
      <c r="Z15" s="4"/>
      <c r="AA15" s="4"/>
      <c r="AB15" s="4"/>
      <c r="AC15" s="4"/>
      <c r="AD15" s="4"/>
    </row>
    <row r="16" ht="14.25" customHeight="1">
      <c r="A16" s="4" t="s">
        <v>21</v>
      </c>
      <c r="B16" s="4" t="s">
        <v>27</v>
      </c>
      <c r="C16" s="4">
        <v>10.0</v>
      </c>
      <c r="D16" s="4" t="s">
        <v>28</v>
      </c>
      <c r="E16" s="4" t="s">
        <v>27</v>
      </c>
      <c r="F16" s="4">
        <v>31.0</v>
      </c>
      <c r="G16" s="4" t="s">
        <v>29</v>
      </c>
      <c r="H16" s="4" t="s">
        <v>30</v>
      </c>
      <c r="I16" s="4" t="s">
        <v>47</v>
      </c>
      <c r="J16" s="4">
        <f>J15-M15</f>
        <v>4</v>
      </c>
      <c r="K16" s="4">
        <v>-47.0</v>
      </c>
      <c r="L16" s="4">
        <v>-43.0</v>
      </c>
      <c r="M16" s="4">
        <v>4.0</v>
      </c>
      <c r="N16" s="4" t="s">
        <v>39</v>
      </c>
      <c r="O16" s="4">
        <f t="shared" si="1"/>
        <v>10</v>
      </c>
      <c r="P16" s="6">
        <v>2.768876</v>
      </c>
      <c r="Q16" s="6">
        <v>3.064499</v>
      </c>
      <c r="R16" s="6">
        <v>0.295623</v>
      </c>
      <c r="S16" s="4">
        <v>72.0</v>
      </c>
      <c r="T16" s="4" t="s">
        <v>22</v>
      </c>
      <c r="U16" s="4" t="s">
        <v>64</v>
      </c>
      <c r="V16" s="4"/>
      <c r="W16" s="4"/>
      <c r="X16" s="4"/>
      <c r="Y16" s="4"/>
      <c r="Z16" s="4"/>
      <c r="AA16" s="4"/>
      <c r="AB16" s="4"/>
      <c r="AC16" s="4"/>
      <c r="AD16" s="4"/>
    </row>
    <row r="17" ht="14.25" customHeight="1">
      <c r="A17" s="4" t="s">
        <v>21</v>
      </c>
      <c r="B17" s="4" t="s">
        <v>27</v>
      </c>
      <c r="C17" s="4">
        <v>10.0</v>
      </c>
      <c r="D17" s="4" t="s">
        <v>28</v>
      </c>
      <c r="E17" s="4" t="s">
        <v>27</v>
      </c>
      <c r="F17" s="4">
        <v>20.0</v>
      </c>
      <c r="G17" s="4" t="s">
        <v>65</v>
      </c>
      <c r="H17" s="4" t="s">
        <v>43</v>
      </c>
      <c r="I17" s="4" t="s">
        <v>31</v>
      </c>
      <c r="J17" s="7">
        <v>10.0</v>
      </c>
      <c r="K17" s="4">
        <v>-43.0</v>
      </c>
      <c r="L17" s="4">
        <v>-37.0</v>
      </c>
      <c r="M17" s="4">
        <v>6.0</v>
      </c>
      <c r="N17" s="4" t="s">
        <v>44</v>
      </c>
      <c r="O17" s="4">
        <f t="shared" si="1"/>
        <v>4</v>
      </c>
      <c r="P17" s="6">
        <v>3.064499</v>
      </c>
      <c r="Q17" s="6">
        <v>3.284751</v>
      </c>
      <c r="R17" s="6">
        <v>0.220252</v>
      </c>
      <c r="S17" s="4">
        <v>2.0</v>
      </c>
      <c r="T17" s="4" t="s">
        <v>22</v>
      </c>
      <c r="U17" s="4" t="s">
        <v>66</v>
      </c>
      <c r="V17" s="4"/>
      <c r="W17" s="4"/>
      <c r="X17" s="4"/>
      <c r="Y17" s="4"/>
      <c r="Z17" s="4"/>
      <c r="AA17" s="4"/>
      <c r="AB17" s="4"/>
      <c r="AC17" s="4"/>
      <c r="AD17" s="4"/>
    </row>
    <row r="18" ht="14.25" customHeight="1">
      <c r="A18" s="4" t="s">
        <v>21</v>
      </c>
      <c r="B18" s="4" t="s">
        <v>27</v>
      </c>
      <c r="C18" s="4">
        <v>10.0</v>
      </c>
      <c r="D18" s="4" t="s">
        <v>28</v>
      </c>
      <c r="E18" s="4" t="s">
        <v>27</v>
      </c>
      <c r="F18" s="4">
        <v>21.0</v>
      </c>
      <c r="G18" s="4" t="s">
        <v>61</v>
      </c>
      <c r="H18" s="4" t="s">
        <v>30</v>
      </c>
      <c r="I18" s="4" t="s">
        <v>47</v>
      </c>
      <c r="J18" s="4">
        <f>J17-M17</f>
        <v>4</v>
      </c>
      <c r="K18" s="4">
        <v>-37.0</v>
      </c>
      <c r="L18" s="4">
        <v>-33.0</v>
      </c>
      <c r="M18" s="4">
        <v>4.0</v>
      </c>
      <c r="N18" s="4" t="s">
        <v>39</v>
      </c>
      <c r="O18" s="4">
        <f t="shared" si="1"/>
        <v>10</v>
      </c>
      <c r="P18" s="6">
        <v>3.284751</v>
      </c>
      <c r="Q18" s="6">
        <v>3.57792</v>
      </c>
      <c r="R18" s="6">
        <v>0.293169</v>
      </c>
      <c r="S18" s="4">
        <v>2.0</v>
      </c>
      <c r="T18" s="4" t="s">
        <v>22</v>
      </c>
      <c r="U18" s="4" t="s">
        <v>66</v>
      </c>
      <c r="V18" s="4"/>
      <c r="W18" s="4"/>
      <c r="X18" s="4"/>
      <c r="Y18" s="4"/>
      <c r="Z18" s="4"/>
      <c r="AA18" s="4"/>
      <c r="AB18" s="4"/>
      <c r="AC18" s="4"/>
      <c r="AD18" s="4"/>
    </row>
    <row r="19" ht="14.25" customHeight="1">
      <c r="A19" s="4" t="s">
        <v>21</v>
      </c>
      <c r="B19" s="4" t="s">
        <v>27</v>
      </c>
      <c r="C19" s="4">
        <v>10.0</v>
      </c>
      <c r="D19" s="4" t="s">
        <v>28</v>
      </c>
      <c r="E19" s="4" t="s">
        <v>27</v>
      </c>
      <c r="F19" s="4">
        <v>31.0</v>
      </c>
      <c r="G19" s="4" t="s">
        <v>29</v>
      </c>
      <c r="H19" s="4" t="s">
        <v>30</v>
      </c>
      <c r="I19" s="4" t="s">
        <v>31</v>
      </c>
      <c r="J19" s="7">
        <v>10.0</v>
      </c>
      <c r="K19" s="4">
        <v>-33.0</v>
      </c>
      <c r="L19" s="4">
        <v>-30.0</v>
      </c>
      <c r="M19" s="4">
        <v>3.0</v>
      </c>
      <c r="N19" s="4" t="s">
        <v>44</v>
      </c>
      <c r="O19" s="4">
        <f t="shared" si="1"/>
        <v>7</v>
      </c>
      <c r="P19" s="6">
        <v>3.57792</v>
      </c>
      <c r="Q19" s="6">
        <v>3.590104</v>
      </c>
      <c r="R19" s="6">
        <v>0.012184</v>
      </c>
      <c r="S19" s="4">
        <v>27.0</v>
      </c>
      <c r="T19" s="4" t="s">
        <v>22</v>
      </c>
      <c r="U19" s="4" t="s">
        <v>67</v>
      </c>
      <c r="V19" s="4"/>
      <c r="W19" s="4"/>
      <c r="X19" s="4"/>
      <c r="Y19" s="4"/>
      <c r="Z19" s="4"/>
      <c r="AA19" s="4"/>
      <c r="AB19" s="4"/>
      <c r="AC19" s="4"/>
      <c r="AD19" s="4"/>
    </row>
    <row r="20" ht="14.25" customHeight="1">
      <c r="A20" s="4" t="s">
        <v>21</v>
      </c>
      <c r="B20" s="4" t="s">
        <v>27</v>
      </c>
      <c r="C20" s="4">
        <v>10.0</v>
      </c>
      <c r="D20" s="4" t="s">
        <v>28</v>
      </c>
      <c r="E20" s="4" t="s">
        <v>27</v>
      </c>
      <c r="F20" s="4">
        <v>31.0</v>
      </c>
      <c r="G20" s="4" t="s">
        <v>29</v>
      </c>
      <c r="H20" s="4" t="s">
        <v>30</v>
      </c>
      <c r="I20" s="4" t="s">
        <v>47</v>
      </c>
      <c r="J20" s="4">
        <f t="shared" ref="J20:J22" si="3">J19-M19</f>
        <v>7</v>
      </c>
      <c r="K20" s="4">
        <v>-30.0</v>
      </c>
      <c r="L20" s="4">
        <v>-27.0</v>
      </c>
      <c r="M20" s="4">
        <v>3.0</v>
      </c>
      <c r="N20" s="4" t="s">
        <v>51</v>
      </c>
      <c r="O20" s="4">
        <f t="shared" si="1"/>
        <v>4</v>
      </c>
      <c r="P20" s="6">
        <v>3.590104</v>
      </c>
      <c r="Q20" s="6">
        <v>3.076431</v>
      </c>
      <c r="R20" s="6">
        <v>-0.51367</v>
      </c>
      <c r="S20" s="4">
        <v>72.0</v>
      </c>
      <c r="T20" s="4" t="s">
        <v>22</v>
      </c>
      <c r="U20" s="4" t="s">
        <v>64</v>
      </c>
      <c r="V20" s="4"/>
      <c r="W20" s="4"/>
      <c r="X20" s="4"/>
      <c r="Y20" s="4"/>
      <c r="Z20" s="4"/>
      <c r="AA20" s="4"/>
      <c r="AB20" s="4"/>
      <c r="AC20" s="4"/>
      <c r="AD20" s="4"/>
    </row>
    <row r="21" ht="14.25" customHeight="1">
      <c r="A21" s="4" t="s">
        <v>21</v>
      </c>
      <c r="B21" s="4" t="s">
        <v>27</v>
      </c>
      <c r="C21" s="4">
        <v>10.0</v>
      </c>
      <c r="D21" s="4" t="s">
        <v>28</v>
      </c>
      <c r="E21" s="4" t="s">
        <v>27</v>
      </c>
      <c r="F21" s="4">
        <v>10.0</v>
      </c>
      <c r="G21" s="4" t="s">
        <v>28</v>
      </c>
      <c r="H21" s="4" t="s">
        <v>30</v>
      </c>
      <c r="I21" s="4" t="s">
        <v>55</v>
      </c>
      <c r="J21" s="4">
        <f t="shared" si="3"/>
        <v>4</v>
      </c>
      <c r="K21" s="4">
        <v>-27.0</v>
      </c>
      <c r="L21" s="4">
        <v>-29.0</v>
      </c>
      <c r="M21" s="4">
        <v>-2.0</v>
      </c>
      <c r="N21" s="4" t="s">
        <v>56</v>
      </c>
      <c r="O21" s="4">
        <f t="shared" si="1"/>
        <v>6</v>
      </c>
      <c r="P21" s="6">
        <v>3.076431</v>
      </c>
      <c r="Q21" s="6">
        <v>1.706444</v>
      </c>
      <c r="R21" s="6">
        <v>-1.36999</v>
      </c>
      <c r="S21" s="4">
        <v>2.0</v>
      </c>
      <c r="T21" s="4" t="s">
        <v>22</v>
      </c>
      <c r="U21" s="4" t="s">
        <v>66</v>
      </c>
      <c r="V21" s="4"/>
      <c r="W21" s="4"/>
      <c r="X21" s="4"/>
      <c r="Y21" s="4"/>
      <c r="Z21" s="4"/>
      <c r="AA21" s="4"/>
      <c r="AB21" s="4"/>
      <c r="AC21" s="4"/>
      <c r="AD21" s="4"/>
    </row>
    <row r="22" ht="14.25" customHeight="1">
      <c r="A22" s="4" t="s">
        <v>21</v>
      </c>
      <c r="B22" s="4" t="s">
        <v>27</v>
      </c>
      <c r="C22" s="4" t="s">
        <v>23</v>
      </c>
      <c r="D22" s="4" t="s">
        <v>23</v>
      </c>
      <c r="E22" s="4" t="s">
        <v>27</v>
      </c>
      <c r="F22" s="4">
        <v>42.0</v>
      </c>
      <c r="G22" s="4" t="s">
        <v>33</v>
      </c>
      <c r="H22" s="4" t="s">
        <v>68</v>
      </c>
      <c r="I22" s="4" t="s">
        <v>59</v>
      </c>
      <c r="J22" s="4">
        <f t="shared" si="3"/>
        <v>6</v>
      </c>
      <c r="K22" s="4">
        <v>-36.0</v>
      </c>
      <c r="L22" s="4">
        <v>0.0</v>
      </c>
      <c r="M22" s="4">
        <v>46.0</v>
      </c>
      <c r="N22" s="4" t="s">
        <v>69</v>
      </c>
      <c r="O22" s="4" t="str">
        <f t="shared" si="1"/>
        <v/>
      </c>
      <c r="P22" s="6">
        <v>1.706444</v>
      </c>
      <c r="Q22" s="5">
        <v>3.0</v>
      </c>
      <c r="R22" s="6">
        <f>Q22-P22</f>
        <v>1.293556</v>
      </c>
      <c r="S22" s="4" t="s">
        <v>23</v>
      </c>
      <c r="T22" s="4" t="s">
        <v>23</v>
      </c>
      <c r="U22" s="4" t="s">
        <v>23</v>
      </c>
      <c r="V22" s="4"/>
      <c r="W22" s="4"/>
      <c r="X22" s="4"/>
      <c r="Y22" s="4"/>
      <c r="Z22" s="4"/>
      <c r="AA22" s="4"/>
      <c r="AB22" s="4"/>
      <c r="AC22" s="4"/>
      <c r="AD22" s="4"/>
    </row>
    <row r="23" ht="14.25" customHeight="1">
      <c r="A23" s="4" t="s">
        <v>21</v>
      </c>
      <c r="B23" s="4" t="s">
        <v>27</v>
      </c>
      <c r="C23" s="4" t="s">
        <v>23</v>
      </c>
      <c r="D23" s="4" t="s">
        <v>23</v>
      </c>
      <c r="E23" s="4" t="s">
        <v>27</v>
      </c>
      <c r="F23" s="4">
        <v>42.0</v>
      </c>
      <c r="G23" s="4" t="s">
        <v>33</v>
      </c>
      <c r="H23" s="4" t="s">
        <v>25</v>
      </c>
      <c r="I23" s="4" t="s">
        <v>23</v>
      </c>
      <c r="J23" s="4"/>
      <c r="K23" s="4">
        <v>35.0</v>
      </c>
      <c r="L23" s="4">
        <v>-4.0</v>
      </c>
      <c r="M23" s="4">
        <v>61.0</v>
      </c>
      <c r="N23" s="4" t="s">
        <v>36</v>
      </c>
      <c r="O23" s="4" t="str">
        <f t="shared" si="1"/>
        <v/>
      </c>
      <c r="P23" s="8"/>
      <c r="Q23" s="8"/>
      <c r="R23" s="6">
        <v>0.0</v>
      </c>
      <c r="S23" s="4" t="s">
        <v>23</v>
      </c>
      <c r="T23" s="4" t="s">
        <v>23</v>
      </c>
      <c r="U23" s="4" t="s">
        <v>23</v>
      </c>
      <c r="V23" s="4"/>
      <c r="W23" s="4"/>
      <c r="X23" s="4"/>
      <c r="Y23" s="4"/>
      <c r="Z23" s="4"/>
      <c r="AA23" s="4"/>
      <c r="AB23" s="4"/>
      <c r="AC23" s="4"/>
      <c r="AD23" s="4"/>
    </row>
    <row r="24" ht="14.25" customHeight="1">
      <c r="A24" s="4" t="s">
        <v>21</v>
      </c>
      <c r="B24" s="4" t="s">
        <v>22</v>
      </c>
      <c r="C24" s="4" t="s">
        <v>23</v>
      </c>
      <c r="D24" s="4" t="s">
        <v>23</v>
      </c>
      <c r="E24" s="4" t="s">
        <v>22</v>
      </c>
      <c r="F24" s="4">
        <v>81.0</v>
      </c>
      <c r="G24" s="4" t="s">
        <v>37</v>
      </c>
      <c r="H24" s="4" t="s">
        <v>38</v>
      </c>
      <c r="I24" s="4" t="s">
        <v>23</v>
      </c>
      <c r="J24" s="4"/>
      <c r="K24" s="4">
        <v>4.0</v>
      </c>
      <c r="L24" s="4">
        <v>26.0</v>
      </c>
      <c r="M24" s="4">
        <v>22.0</v>
      </c>
      <c r="N24" s="4" t="s">
        <v>39</v>
      </c>
      <c r="O24" s="4">
        <f t="shared" si="1"/>
        <v>10</v>
      </c>
      <c r="P24" s="5">
        <v>0.0</v>
      </c>
      <c r="Q24" s="6">
        <v>0.974109</v>
      </c>
      <c r="R24" s="6">
        <f>Q24-P24</f>
        <v>0.974109</v>
      </c>
      <c r="S24" s="4">
        <v>27.0</v>
      </c>
      <c r="T24" s="4" t="s">
        <v>27</v>
      </c>
      <c r="U24" s="4" t="s">
        <v>70</v>
      </c>
      <c r="V24" s="4"/>
      <c r="W24" s="4"/>
      <c r="X24" s="4"/>
      <c r="Y24" s="4"/>
      <c r="Z24" s="4"/>
      <c r="AA24" s="4"/>
      <c r="AB24" s="4"/>
      <c r="AC24" s="4"/>
      <c r="AD24" s="4"/>
    </row>
    <row r="25" ht="14.25" customHeight="1">
      <c r="A25" s="4" t="s">
        <v>21</v>
      </c>
      <c r="B25" s="4" t="s">
        <v>22</v>
      </c>
      <c r="C25" s="4">
        <v>15.0</v>
      </c>
      <c r="D25" s="4" t="s">
        <v>41</v>
      </c>
      <c r="E25" s="4" t="s">
        <v>22</v>
      </c>
      <c r="F25" s="4">
        <v>23.0</v>
      </c>
      <c r="G25" s="4" t="s">
        <v>49</v>
      </c>
      <c r="H25" s="4" t="s">
        <v>30</v>
      </c>
      <c r="I25" s="4" t="s">
        <v>31</v>
      </c>
      <c r="J25" s="7">
        <v>10.0</v>
      </c>
      <c r="K25" s="4">
        <v>26.0</v>
      </c>
      <c r="L25" s="4">
        <v>26.0</v>
      </c>
      <c r="M25" s="4">
        <v>0.0</v>
      </c>
      <c r="N25" s="4" t="s">
        <v>44</v>
      </c>
      <c r="O25" s="4">
        <f t="shared" si="1"/>
        <v>10</v>
      </c>
      <c r="P25" s="6">
        <v>0.974109</v>
      </c>
      <c r="Q25" s="6">
        <v>0.34483</v>
      </c>
      <c r="R25" s="6">
        <v>-0.62928</v>
      </c>
      <c r="S25" s="4">
        <v>7.0</v>
      </c>
      <c r="T25" s="4" t="s">
        <v>27</v>
      </c>
      <c r="U25" s="4" t="s">
        <v>71</v>
      </c>
      <c r="V25" s="4"/>
      <c r="W25" s="4"/>
      <c r="X25" s="4"/>
      <c r="Y25" s="4"/>
      <c r="Z25" s="4"/>
      <c r="AA25" s="4"/>
      <c r="AB25" s="4"/>
      <c r="AC25" s="4"/>
      <c r="AD25" s="4"/>
    </row>
    <row r="26" ht="14.25" customHeight="1">
      <c r="A26" s="4" t="s">
        <v>21</v>
      </c>
      <c r="B26" s="4" t="s">
        <v>22</v>
      </c>
      <c r="C26" s="4">
        <v>15.0</v>
      </c>
      <c r="D26" s="4" t="s">
        <v>41</v>
      </c>
      <c r="E26" s="4" t="s">
        <v>22</v>
      </c>
      <c r="F26" s="4">
        <v>4.0</v>
      </c>
      <c r="G26" s="4" t="s">
        <v>42</v>
      </c>
      <c r="H26" s="4" t="s">
        <v>43</v>
      </c>
      <c r="I26" s="4" t="s">
        <v>47</v>
      </c>
      <c r="J26" s="4">
        <f>J25-M25</f>
        <v>10</v>
      </c>
      <c r="K26" s="4">
        <v>26.0</v>
      </c>
      <c r="L26" s="4">
        <v>46.0</v>
      </c>
      <c r="M26" s="4">
        <v>20.0</v>
      </c>
      <c r="N26" s="4" t="s">
        <v>39</v>
      </c>
      <c r="O26" s="4">
        <f t="shared" si="1"/>
        <v>10</v>
      </c>
      <c r="P26" s="6">
        <v>0.34483</v>
      </c>
      <c r="Q26" s="6">
        <v>2.468226</v>
      </c>
      <c r="R26" s="6">
        <v>2.123396</v>
      </c>
      <c r="S26" s="4" t="s">
        <v>23</v>
      </c>
      <c r="T26" s="4" t="s">
        <v>23</v>
      </c>
      <c r="U26" s="4" t="s">
        <v>23</v>
      </c>
      <c r="V26" s="4"/>
      <c r="W26" s="4"/>
      <c r="X26" s="4"/>
      <c r="Y26" s="4"/>
      <c r="Z26" s="4"/>
      <c r="AA26" s="4"/>
      <c r="AB26" s="4"/>
      <c r="AC26" s="4"/>
      <c r="AD26" s="4"/>
    </row>
    <row r="27" ht="14.25" customHeight="1">
      <c r="A27" s="4" t="s">
        <v>21</v>
      </c>
      <c r="B27" s="4" t="s">
        <v>22</v>
      </c>
      <c r="C27" s="4">
        <v>15.0</v>
      </c>
      <c r="D27" s="4" t="s">
        <v>41</v>
      </c>
      <c r="E27" s="4" t="s">
        <v>22</v>
      </c>
      <c r="F27" s="4">
        <v>82.0</v>
      </c>
      <c r="G27" s="4" t="s">
        <v>72</v>
      </c>
      <c r="H27" s="4" t="s">
        <v>43</v>
      </c>
      <c r="I27" s="4" t="s">
        <v>31</v>
      </c>
      <c r="J27" s="7">
        <v>10.0</v>
      </c>
      <c r="K27" s="4">
        <v>46.0</v>
      </c>
      <c r="L27" s="4">
        <v>-38.0</v>
      </c>
      <c r="M27" s="4">
        <v>16.0</v>
      </c>
      <c r="N27" s="4" t="s">
        <v>39</v>
      </c>
      <c r="O27" s="4">
        <f t="shared" si="1"/>
        <v>10</v>
      </c>
      <c r="P27" s="6">
        <v>2.468226</v>
      </c>
      <c r="Q27" s="6">
        <v>3.381307</v>
      </c>
      <c r="R27" s="6">
        <v>0.913081</v>
      </c>
      <c r="S27" s="4">
        <v>0.0</v>
      </c>
      <c r="T27" s="4" t="s">
        <v>27</v>
      </c>
      <c r="U27" s="4" t="s">
        <v>73</v>
      </c>
      <c r="V27" s="4"/>
      <c r="W27" s="4"/>
      <c r="X27" s="4"/>
      <c r="Y27" s="4"/>
      <c r="Z27" s="4"/>
      <c r="AA27" s="4"/>
      <c r="AB27" s="4"/>
      <c r="AC27" s="4"/>
      <c r="AD27" s="4"/>
    </row>
    <row r="28" ht="14.25" customHeight="1">
      <c r="A28" s="4" t="s">
        <v>21</v>
      </c>
      <c r="B28" s="4" t="s">
        <v>22</v>
      </c>
      <c r="C28" s="4">
        <v>15.0</v>
      </c>
      <c r="D28" s="4" t="s">
        <v>41</v>
      </c>
      <c r="E28" s="4" t="s">
        <v>22</v>
      </c>
      <c r="F28" s="4">
        <v>15.0</v>
      </c>
      <c r="G28" s="4" t="s">
        <v>41</v>
      </c>
      <c r="H28" s="4" t="s">
        <v>30</v>
      </c>
      <c r="I28" s="4" t="s">
        <v>31</v>
      </c>
      <c r="J28" s="7">
        <v>10.0</v>
      </c>
      <c r="K28" s="4">
        <v>-38.0</v>
      </c>
      <c r="L28" s="4">
        <v>-29.0</v>
      </c>
      <c r="M28" s="4">
        <v>9.0</v>
      </c>
      <c r="N28" s="4" t="s">
        <v>44</v>
      </c>
      <c r="O28" s="4">
        <f t="shared" si="1"/>
        <v>1</v>
      </c>
      <c r="P28" s="6">
        <v>3.381307</v>
      </c>
      <c r="Q28" s="6">
        <v>3.978036</v>
      </c>
      <c r="R28" s="6">
        <v>0.596729</v>
      </c>
      <c r="S28" s="4">
        <v>35.0</v>
      </c>
      <c r="T28" s="4" t="s">
        <v>27</v>
      </c>
      <c r="U28" s="4" t="s">
        <v>45</v>
      </c>
      <c r="V28" s="4"/>
      <c r="W28" s="4"/>
      <c r="X28" s="4"/>
      <c r="Y28" s="4"/>
      <c r="Z28" s="4"/>
      <c r="AA28" s="4"/>
      <c r="AB28" s="4"/>
      <c r="AC28" s="4"/>
      <c r="AD28" s="4"/>
    </row>
    <row r="29" ht="14.25" customHeight="1">
      <c r="A29" s="4" t="s">
        <v>21</v>
      </c>
      <c r="B29" s="4" t="s">
        <v>22</v>
      </c>
      <c r="C29" s="4" t="s">
        <v>23</v>
      </c>
      <c r="D29" s="4" t="s">
        <v>23</v>
      </c>
      <c r="E29" s="4" t="s">
        <v>22</v>
      </c>
      <c r="F29" s="4" t="s">
        <v>23</v>
      </c>
      <c r="G29" s="4" t="s">
        <v>23</v>
      </c>
      <c r="H29" s="4" t="s">
        <v>74</v>
      </c>
      <c r="I29" s="4" t="s">
        <v>47</v>
      </c>
      <c r="J29" s="4">
        <f t="shared" ref="J29:J30" si="4">J28-M28</f>
        <v>1</v>
      </c>
      <c r="K29" s="4">
        <v>-29.0</v>
      </c>
      <c r="L29" s="4">
        <v>-34.0</v>
      </c>
      <c r="M29" s="4">
        <v>-5.0</v>
      </c>
      <c r="N29" s="4" t="s">
        <v>44</v>
      </c>
      <c r="O29" s="4">
        <f t="shared" si="1"/>
        <v>6</v>
      </c>
      <c r="P29" s="6">
        <v>3.978036</v>
      </c>
      <c r="Q29" s="6">
        <v>3.430596</v>
      </c>
      <c r="R29" s="6">
        <v>-0.54744</v>
      </c>
      <c r="S29" s="4" t="s">
        <v>23</v>
      </c>
      <c r="T29" s="4" t="s">
        <v>23</v>
      </c>
      <c r="U29" s="4" t="s">
        <v>23</v>
      </c>
      <c r="V29" s="4"/>
      <c r="W29" s="4"/>
      <c r="X29" s="4"/>
      <c r="Y29" s="4"/>
      <c r="Z29" s="4"/>
      <c r="AA29" s="4"/>
      <c r="AB29" s="4"/>
      <c r="AC29" s="4"/>
      <c r="AD29" s="4"/>
    </row>
    <row r="30" ht="14.25" customHeight="1">
      <c r="A30" s="4" t="s">
        <v>21</v>
      </c>
      <c r="B30" s="4" t="s">
        <v>22</v>
      </c>
      <c r="C30" s="4">
        <v>15.0</v>
      </c>
      <c r="D30" s="4" t="s">
        <v>41</v>
      </c>
      <c r="E30" s="4" t="s">
        <v>27</v>
      </c>
      <c r="F30" s="4">
        <v>35.0</v>
      </c>
      <c r="G30" s="4" t="s">
        <v>45</v>
      </c>
      <c r="H30" s="4" t="s">
        <v>75</v>
      </c>
      <c r="I30" s="4" t="s">
        <v>47</v>
      </c>
      <c r="J30" s="4">
        <f t="shared" si="4"/>
        <v>6</v>
      </c>
      <c r="K30" s="4">
        <v>-34.0</v>
      </c>
      <c r="L30" s="4">
        <v>-24.0</v>
      </c>
      <c r="M30" s="4">
        <v>10.0</v>
      </c>
      <c r="N30" s="4" t="s">
        <v>76</v>
      </c>
      <c r="O30" s="4" t="str">
        <f t="shared" si="1"/>
        <v/>
      </c>
      <c r="P30" s="6">
        <v>3.430596</v>
      </c>
      <c r="Q30" s="5">
        <v>-1.86</v>
      </c>
      <c r="R30" s="6">
        <f>Q30-P30</f>
        <v>-5.290596</v>
      </c>
      <c r="S30" s="4">
        <v>11.0</v>
      </c>
      <c r="T30" s="4" t="s">
        <v>22</v>
      </c>
      <c r="U30" s="4" t="s">
        <v>77</v>
      </c>
      <c r="V30" s="4"/>
      <c r="W30" s="4"/>
      <c r="X30" s="4"/>
      <c r="Y30" s="4"/>
      <c r="Z30" s="4"/>
      <c r="AA30" s="4"/>
      <c r="AB30" s="4"/>
      <c r="AC30" s="4"/>
      <c r="AD30" s="4"/>
    </row>
    <row r="31" ht="14.25" customHeight="1">
      <c r="A31" s="4" t="s">
        <v>21</v>
      </c>
      <c r="B31" s="4" t="s">
        <v>27</v>
      </c>
      <c r="C31" s="4" t="s">
        <v>23</v>
      </c>
      <c r="D31" s="4" t="s">
        <v>23</v>
      </c>
      <c r="E31" s="4" t="s">
        <v>27</v>
      </c>
      <c r="F31" s="4">
        <v>35.0</v>
      </c>
      <c r="G31" s="4" t="s">
        <v>45</v>
      </c>
      <c r="H31" s="4" t="s">
        <v>78</v>
      </c>
      <c r="I31" s="4" t="s">
        <v>23</v>
      </c>
      <c r="J31" s="4"/>
      <c r="K31" s="4">
        <v>24.0</v>
      </c>
      <c r="L31" s="4">
        <v>37.0</v>
      </c>
      <c r="M31" s="4">
        <v>13.0</v>
      </c>
      <c r="N31" s="4" t="s">
        <v>39</v>
      </c>
      <c r="O31" s="4">
        <f t="shared" si="1"/>
        <v>10</v>
      </c>
      <c r="P31" s="8"/>
      <c r="Q31" s="8"/>
      <c r="R31" s="6">
        <v>0.0</v>
      </c>
      <c r="S31" s="4" t="s">
        <v>23</v>
      </c>
      <c r="T31" s="4" t="s">
        <v>23</v>
      </c>
      <c r="U31" s="4" t="s">
        <v>23</v>
      </c>
      <c r="V31" s="4"/>
      <c r="W31" s="4"/>
      <c r="X31" s="4"/>
      <c r="Y31" s="4"/>
      <c r="Z31" s="4"/>
      <c r="AA31" s="4"/>
      <c r="AB31" s="4"/>
      <c r="AC31" s="4"/>
      <c r="AD31" s="4"/>
    </row>
    <row r="32" ht="14.25" customHeight="1">
      <c r="A32" s="4" t="s">
        <v>21</v>
      </c>
      <c r="B32" s="4" t="s">
        <v>27</v>
      </c>
      <c r="C32" s="4">
        <v>10.0</v>
      </c>
      <c r="D32" s="4" t="s">
        <v>28</v>
      </c>
      <c r="E32" s="4" t="s">
        <v>27</v>
      </c>
      <c r="F32" s="4">
        <v>31.0</v>
      </c>
      <c r="G32" s="4" t="s">
        <v>29</v>
      </c>
      <c r="H32" s="4" t="s">
        <v>30</v>
      </c>
      <c r="I32" s="4" t="s">
        <v>31</v>
      </c>
      <c r="J32" s="7">
        <v>10.0</v>
      </c>
      <c r="K32" s="4">
        <v>37.0</v>
      </c>
      <c r="L32" s="4">
        <v>41.0</v>
      </c>
      <c r="M32" s="4">
        <v>4.0</v>
      </c>
      <c r="N32" s="4" t="s">
        <v>44</v>
      </c>
      <c r="O32" s="4">
        <f t="shared" si="1"/>
        <v>6</v>
      </c>
      <c r="P32" s="6">
        <v>1.857162</v>
      </c>
      <c r="Q32" s="6">
        <v>1.80272</v>
      </c>
      <c r="R32" s="6">
        <v>-0.05444</v>
      </c>
      <c r="S32" s="4">
        <v>3.0</v>
      </c>
      <c r="T32" s="4" t="s">
        <v>22</v>
      </c>
      <c r="U32" s="4" t="s">
        <v>79</v>
      </c>
      <c r="V32" s="4"/>
      <c r="W32" s="4"/>
      <c r="X32" s="4"/>
      <c r="Y32" s="4"/>
      <c r="Z32" s="4"/>
      <c r="AA32" s="4"/>
      <c r="AB32" s="4"/>
      <c r="AC32" s="4"/>
      <c r="AD32" s="4"/>
    </row>
    <row r="33" ht="14.25" customHeight="1">
      <c r="A33" s="4" t="s">
        <v>21</v>
      </c>
      <c r="B33" s="4" t="s">
        <v>27</v>
      </c>
      <c r="C33" s="4">
        <v>10.0</v>
      </c>
      <c r="D33" s="4" t="s">
        <v>28</v>
      </c>
      <c r="E33" s="4" t="s">
        <v>27</v>
      </c>
      <c r="F33" s="4">
        <v>31.0</v>
      </c>
      <c r="G33" s="4" t="s">
        <v>29</v>
      </c>
      <c r="H33" s="4" t="s">
        <v>30</v>
      </c>
      <c r="I33" s="4" t="s">
        <v>47</v>
      </c>
      <c r="J33" s="4">
        <f t="shared" ref="J33:J35" si="5">J32-M32</f>
        <v>6</v>
      </c>
      <c r="K33" s="4">
        <v>41.0</v>
      </c>
      <c r="L33" s="4">
        <v>43.0</v>
      </c>
      <c r="M33" s="4">
        <v>2.0</v>
      </c>
      <c r="N33" s="4" t="s">
        <v>51</v>
      </c>
      <c r="O33" s="4">
        <f t="shared" si="1"/>
        <v>4</v>
      </c>
      <c r="P33" s="6">
        <v>1.80272</v>
      </c>
      <c r="Q33" s="6">
        <v>1.363791</v>
      </c>
      <c r="R33" s="6">
        <v>-0.43893</v>
      </c>
      <c r="S33" s="4">
        <v>10.0</v>
      </c>
      <c r="T33" s="4" t="s">
        <v>22</v>
      </c>
      <c r="U33" s="4" t="s">
        <v>80</v>
      </c>
      <c r="V33" s="4"/>
      <c r="W33" s="4"/>
      <c r="X33" s="4"/>
      <c r="Y33" s="4"/>
      <c r="Z33" s="4"/>
      <c r="AA33" s="4"/>
      <c r="AB33" s="4"/>
      <c r="AC33" s="4"/>
      <c r="AD33" s="4"/>
    </row>
    <row r="34" ht="14.25" customHeight="1">
      <c r="A34" s="4" t="s">
        <v>21</v>
      </c>
      <c r="B34" s="4" t="s">
        <v>27</v>
      </c>
      <c r="C34" s="4">
        <v>10.0</v>
      </c>
      <c r="D34" s="4" t="s">
        <v>28</v>
      </c>
      <c r="E34" s="4" t="s">
        <v>27</v>
      </c>
      <c r="F34" s="4">
        <v>82.0</v>
      </c>
      <c r="G34" s="4" t="s">
        <v>81</v>
      </c>
      <c r="H34" s="4" t="s">
        <v>82</v>
      </c>
      <c r="I34" s="4" t="s">
        <v>55</v>
      </c>
      <c r="J34" s="4">
        <f t="shared" si="5"/>
        <v>4</v>
      </c>
      <c r="K34" s="4">
        <v>43.0</v>
      </c>
      <c r="L34" s="4">
        <v>43.0</v>
      </c>
      <c r="M34" s="4">
        <v>0.0</v>
      </c>
      <c r="N34" s="4" t="s">
        <v>56</v>
      </c>
      <c r="O34" s="4">
        <f t="shared" si="1"/>
        <v>4</v>
      </c>
      <c r="P34" s="6">
        <v>1.363791</v>
      </c>
      <c r="Q34" s="6">
        <v>-0.27436</v>
      </c>
      <c r="R34" s="6">
        <v>-1.63815</v>
      </c>
      <c r="S34" s="4" t="s">
        <v>23</v>
      </c>
      <c r="T34" s="4" t="s">
        <v>23</v>
      </c>
      <c r="U34" s="4" t="s">
        <v>23</v>
      </c>
      <c r="V34" s="4"/>
      <c r="W34" s="4"/>
      <c r="X34" s="4"/>
      <c r="Y34" s="4"/>
      <c r="Z34" s="4"/>
      <c r="AA34" s="4"/>
      <c r="AB34" s="4"/>
      <c r="AC34" s="4"/>
      <c r="AD34" s="4"/>
    </row>
    <row r="35" ht="14.25" customHeight="1">
      <c r="A35" s="4" t="s">
        <v>21</v>
      </c>
      <c r="B35" s="4" t="s">
        <v>27</v>
      </c>
      <c r="C35" s="4" t="s">
        <v>23</v>
      </c>
      <c r="D35" s="4" t="s">
        <v>23</v>
      </c>
      <c r="E35" s="4" t="s">
        <v>27</v>
      </c>
      <c r="F35" s="4">
        <v>8.0</v>
      </c>
      <c r="G35" s="4" t="s">
        <v>83</v>
      </c>
      <c r="H35" s="4" t="s">
        <v>58</v>
      </c>
      <c r="I35" s="4" t="s">
        <v>59</v>
      </c>
      <c r="J35" s="4">
        <f t="shared" si="5"/>
        <v>4</v>
      </c>
      <c r="K35" s="4">
        <v>29.0</v>
      </c>
      <c r="L35" s="4">
        <v>-22.0</v>
      </c>
      <c r="M35" s="4">
        <v>49.0</v>
      </c>
      <c r="N35" s="4" t="s">
        <v>60</v>
      </c>
      <c r="O35" s="4" t="str">
        <f t="shared" si="1"/>
        <v/>
      </c>
      <c r="P35" s="6">
        <v>-0.27436</v>
      </c>
      <c r="Q35" s="6">
        <v>0.16983</v>
      </c>
      <c r="R35" s="6">
        <f>Q35-P35</f>
        <v>0.44419</v>
      </c>
      <c r="S35" s="4" t="s">
        <v>23</v>
      </c>
      <c r="T35" s="4" t="s">
        <v>23</v>
      </c>
      <c r="U35" s="4" t="s">
        <v>23</v>
      </c>
      <c r="V35" s="4"/>
      <c r="W35" s="4"/>
      <c r="X35" s="4"/>
      <c r="Y35" s="4"/>
      <c r="Z35" s="4"/>
      <c r="AA35" s="4"/>
      <c r="AB35" s="4"/>
      <c r="AC35" s="4"/>
      <c r="AD35" s="4"/>
    </row>
    <row r="36" ht="14.25" customHeight="1">
      <c r="A36" s="4" t="s">
        <v>21</v>
      </c>
      <c r="B36" s="4" t="s">
        <v>22</v>
      </c>
      <c r="C36" s="4" t="s">
        <v>23</v>
      </c>
      <c r="D36" s="4" t="s">
        <v>23</v>
      </c>
      <c r="E36" s="4" t="s">
        <v>22</v>
      </c>
      <c r="F36" s="4" t="s">
        <v>23</v>
      </c>
      <c r="G36" s="4" t="s">
        <v>23</v>
      </c>
      <c r="H36" s="4" t="s">
        <v>74</v>
      </c>
      <c r="I36" s="4" t="s">
        <v>31</v>
      </c>
      <c r="J36" s="7"/>
      <c r="K36" s="4">
        <v>22.0</v>
      </c>
      <c r="L36" s="4">
        <v>12.0</v>
      </c>
      <c r="M36" s="4">
        <v>-10.0</v>
      </c>
      <c r="N36" s="4" t="s">
        <v>39</v>
      </c>
      <c r="O36" s="4">
        <f t="shared" si="1"/>
        <v>10</v>
      </c>
      <c r="P36" s="6"/>
      <c r="Q36" s="6"/>
      <c r="R36" s="6"/>
      <c r="S36" s="4" t="s">
        <v>23</v>
      </c>
      <c r="T36" s="4" t="s">
        <v>23</v>
      </c>
      <c r="U36" s="4" t="s">
        <v>23</v>
      </c>
      <c r="V36" s="4"/>
      <c r="W36" s="4"/>
      <c r="X36" s="4"/>
      <c r="Y36" s="4"/>
      <c r="Z36" s="4"/>
      <c r="AA36" s="4"/>
      <c r="AB36" s="4"/>
      <c r="AC36" s="4"/>
      <c r="AD36" s="4"/>
    </row>
    <row r="37" ht="14.25" customHeight="1">
      <c r="A37" s="4" t="s">
        <v>84</v>
      </c>
      <c r="B37" s="4" t="s">
        <v>22</v>
      </c>
      <c r="C37" s="4">
        <v>15.0</v>
      </c>
      <c r="D37" s="4" t="s">
        <v>41</v>
      </c>
      <c r="E37" s="4" t="s">
        <v>22</v>
      </c>
      <c r="F37" s="4">
        <v>16.0</v>
      </c>
      <c r="G37" s="4" t="s">
        <v>46</v>
      </c>
      <c r="H37" s="4" t="s">
        <v>43</v>
      </c>
      <c r="I37" s="4" t="s">
        <v>31</v>
      </c>
      <c r="J37" s="4">
        <f>J36-M36</f>
        <v>10</v>
      </c>
      <c r="K37" s="4">
        <v>12.0</v>
      </c>
      <c r="L37" s="4">
        <v>24.0</v>
      </c>
      <c r="M37" s="4">
        <v>12.0</v>
      </c>
      <c r="N37" s="4" t="s">
        <v>39</v>
      </c>
      <c r="O37" s="4">
        <f t="shared" si="1"/>
        <v>10</v>
      </c>
      <c r="P37" s="6">
        <v>-0.16983</v>
      </c>
      <c r="Q37" s="6">
        <v>0.806996</v>
      </c>
      <c r="R37" s="6">
        <v>0.976827</v>
      </c>
      <c r="S37" s="4" t="s">
        <v>23</v>
      </c>
      <c r="T37" s="4" t="s">
        <v>23</v>
      </c>
      <c r="U37" s="4" t="s">
        <v>23</v>
      </c>
      <c r="V37" s="4"/>
      <c r="W37" s="4"/>
      <c r="X37" s="4"/>
      <c r="Y37" s="4"/>
      <c r="Z37" s="4"/>
      <c r="AA37" s="4"/>
      <c r="AB37" s="4"/>
      <c r="AC37" s="4"/>
      <c r="AD37" s="4"/>
    </row>
    <row r="38" ht="14.25" customHeight="1">
      <c r="A38" s="4" t="s">
        <v>84</v>
      </c>
      <c r="B38" s="4" t="s">
        <v>22</v>
      </c>
      <c r="C38" s="4">
        <v>15.0</v>
      </c>
      <c r="D38" s="4" t="s">
        <v>41</v>
      </c>
      <c r="E38" s="4" t="s">
        <v>22</v>
      </c>
      <c r="F38" s="4">
        <v>23.0</v>
      </c>
      <c r="G38" s="4" t="s">
        <v>49</v>
      </c>
      <c r="H38" s="4" t="s">
        <v>30</v>
      </c>
      <c r="I38" s="4" t="s">
        <v>31</v>
      </c>
      <c r="J38" s="7">
        <v>10.0</v>
      </c>
      <c r="K38" s="4">
        <v>24.0</v>
      </c>
      <c r="L38" s="4">
        <v>25.0</v>
      </c>
      <c r="M38" s="4">
        <v>1.0</v>
      </c>
      <c r="N38" s="4" t="s">
        <v>44</v>
      </c>
      <c r="O38" s="4">
        <f t="shared" si="1"/>
        <v>9</v>
      </c>
      <c r="P38" s="6">
        <v>0.806996</v>
      </c>
      <c r="Q38" s="6">
        <v>0.29186</v>
      </c>
      <c r="R38" s="6">
        <v>-0.51514</v>
      </c>
      <c r="S38" s="4">
        <v>97.0</v>
      </c>
      <c r="T38" s="4" t="s">
        <v>27</v>
      </c>
      <c r="U38" s="4" t="s">
        <v>85</v>
      </c>
      <c r="V38" s="4"/>
      <c r="W38" s="4"/>
      <c r="X38" s="4"/>
      <c r="Y38" s="4"/>
      <c r="Z38" s="4"/>
      <c r="AA38" s="4"/>
      <c r="AB38" s="4"/>
      <c r="AC38" s="4"/>
      <c r="AD38" s="4"/>
    </row>
    <row r="39" ht="14.25" customHeight="1">
      <c r="A39" s="4" t="s">
        <v>84</v>
      </c>
      <c r="B39" s="4" t="s">
        <v>22</v>
      </c>
      <c r="C39" s="4">
        <v>15.0</v>
      </c>
      <c r="D39" s="4" t="s">
        <v>41</v>
      </c>
      <c r="E39" s="4" t="s">
        <v>22</v>
      </c>
      <c r="F39" s="4">
        <v>15.0</v>
      </c>
      <c r="G39" s="4" t="s">
        <v>41</v>
      </c>
      <c r="H39" s="4" t="s">
        <v>30</v>
      </c>
      <c r="I39" s="4" t="s">
        <v>47</v>
      </c>
      <c r="J39" s="4">
        <f t="shared" ref="J39:J41" si="6">J38-M38</f>
        <v>9</v>
      </c>
      <c r="K39" s="4">
        <v>25.0</v>
      </c>
      <c r="L39" s="4">
        <v>29.0</v>
      </c>
      <c r="M39" s="4">
        <v>4.0</v>
      </c>
      <c r="N39" s="4" t="s">
        <v>51</v>
      </c>
      <c r="O39" s="4">
        <f t="shared" si="1"/>
        <v>5</v>
      </c>
      <c r="P39" s="6">
        <v>0.29186</v>
      </c>
      <c r="Q39" s="6">
        <v>0.10563</v>
      </c>
      <c r="R39" s="6">
        <v>-0.18623</v>
      </c>
      <c r="S39" s="4">
        <v>11.0</v>
      </c>
      <c r="T39" s="4" t="s">
        <v>27</v>
      </c>
      <c r="U39" s="4" t="s">
        <v>86</v>
      </c>
      <c r="V39" s="4"/>
      <c r="W39" s="4"/>
      <c r="X39" s="4"/>
      <c r="Y39" s="4"/>
      <c r="Z39" s="4"/>
      <c r="AA39" s="4"/>
      <c r="AB39" s="4"/>
      <c r="AC39" s="4"/>
      <c r="AD39" s="4"/>
    </row>
    <row r="40" ht="14.25" customHeight="1">
      <c r="A40" s="4" t="s">
        <v>84</v>
      </c>
      <c r="B40" s="4" t="s">
        <v>22</v>
      </c>
      <c r="C40" s="4">
        <v>15.0</v>
      </c>
      <c r="D40" s="4" t="s">
        <v>41</v>
      </c>
      <c r="E40" s="4" t="s">
        <v>22</v>
      </c>
      <c r="F40" s="4">
        <v>4.0</v>
      </c>
      <c r="G40" s="4" t="s">
        <v>42</v>
      </c>
      <c r="H40" s="4" t="s">
        <v>82</v>
      </c>
      <c r="I40" s="4" t="s">
        <v>55</v>
      </c>
      <c r="J40" s="4">
        <f t="shared" si="6"/>
        <v>5</v>
      </c>
      <c r="K40" s="4">
        <v>29.0</v>
      </c>
      <c r="L40" s="4">
        <v>29.0</v>
      </c>
      <c r="M40" s="4">
        <v>0.0</v>
      </c>
      <c r="N40" s="4" t="s">
        <v>56</v>
      </c>
      <c r="O40" s="4">
        <f t="shared" si="1"/>
        <v>5</v>
      </c>
      <c r="P40" s="6">
        <v>0.10563</v>
      </c>
      <c r="Q40" s="6">
        <v>-1.53564</v>
      </c>
      <c r="R40" s="6">
        <v>-1.64127</v>
      </c>
      <c r="S40" s="4" t="s">
        <v>23</v>
      </c>
      <c r="T40" s="4" t="s">
        <v>23</v>
      </c>
      <c r="U40" s="4" t="s">
        <v>23</v>
      </c>
      <c r="V40" s="4"/>
      <c r="W40" s="4"/>
      <c r="X40" s="4"/>
      <c r="Y40" s="4"/>
      <c r="Z40" s="4"/>
      <c r="AA40" s="4"/>
      <c r="AB40" s="4"/>
      <c r="AC40" s="4"/>
      <c r="AD40" s="4"/>
    </row>
    <row r="41" ht="14.25" customHeight="1">
      <c r="A41" s="4" t="s">
        <v>84</v>
      </c>
      <c r="B41" s="4" t="s">
        <v>22</v>
      </c>
      <c r="C41" s="4" t="s">
        <v>23</v>
      </c>
      <c r="D41" s="4" t="s">
        <v>23</v>
      </c>
      <c r="E41" s="4" t="s">
        <v>22</v>
      </c>
      <c r="F41" s="4">
        <v>87.0</v>
      </c>
      <c r="G41" s="4" t="s">
        <v>57</v>
      </c>
      <c r="H41" s="4" t="s">
        <v>58</v>
      </c>
      <c r="I41" s="4" t="s">
        <v>59</v>
      </c>
      <c r="J41" s="4">
        <f t="shared" si="6"/>
        <v>5</v>
      </c>
      <c r="K41" s="4">
        <v>19.0</v>
      </c>
      <c r="L41" s="4">
        <v>-35.0</v>
      </c>
      <c r="M41" s="4">
        <v>46.0</v>
      </c>
      <c r="N41" s="4" t="s">
        <v>36</v>
      </c>
      <c r="O41" s="4" t="str">
        <f t="shared" si="1"/>
        <v/>
      </c>
      <c r="P41" s="6">
        <v>-1.53564</v>
      </c>
      <c r="Q41" s="6">
        <v>-2.113366</v>
      </c>
      <c r="R41" s="6">
        <f>Q41-P41</f>
        <v>-0.577726</v>
      </c>
      <c r="S41" s="4" t="s">
        <v>23</v>
      </c>
      <c r="T41" s="4" t="s">
        <v>23</v>
      </c>
      <c r="U41" s="4" t="s">
        <v>23</v>
      </c>
      <c r="V41" s="4"/>
      <c r="W41" s="4"/>
      <c r="X41" s="4"/>
      <c r="Y41" s="4"/>
      <c r="Z41" s="4"/>
      <c r="AA41" s="4"/>
      <c r="AB41" s="4"/>
      <c r="AC41" s="4"/>
      <c r="AD41" s="4"/>
    </row>
    <row r="42" ht="14.25" customHeight="1">
      <c r="A42" s="4" t="s">
        <v>84</v>
      </c>
      <c r="B42" s="4" t="s">
        <v>27</v>
      </c>
      <c r="C42" s="4" t="s">
        <v>23</v>
      </c>
      <c r="D42" s="4" t="s">
        <v>23</v>
      </c>
      <c r="E42" s="4" t="s">
        <v>27</v>
      </c>
      <c r="F42" s="4">
        <v>3.0</v>
      </c>
      <c r="G42" s="4" t="s">
        <v>87</v>
      </c>
      <c r="H42" s="4" t="s">
        <v>88</v>
      </c>
      <c r="I42" s="4" t="s">
        <v>23</v>
      </c>
      <c r="J42" s="4"/>
      <c r="K42" s="4">
        <v>35.0</v>
      </c>
      <c r="L42" s="4">
        <v>41.0</v>
      </c>
      <c r="M42" s="4">
        <v>6.0</v>
      </c>
      <c r="N42" s="4" t="s">
        <v>39</v>
      </c>
      <c r="O42" s="4">
        <f t="shared" si="1"/>
        <v>10</v>
      </c>
      <c r="P42" s="8"/>
      <c r="Q42" s="8"/>
      <c r="R42" s="6">
        <v>0.0</v>
      </c>
      <c r="S42" s="4">
        <v>45.0</v>
      </c>
      <c r="T42" s="4" t="s">
        <v>22</v>
      </c>
      <c r="U42" s="4" t="s">
        <v>89</v>
      </c>
      <c r="V42" s="4"/>
      <c r="W42" s="4"/>
      <c r="X42" s="4"/>
      <c r="Y42" s="4"/>
      <c r="Z42" s="4"/>
      <c r="AA42" s="4"/>
      <c r="AB42" s="4"/>
      <c r="AC42" s="4"/>
      <c r="AD42" s="4"/>
    </row>
    <row r="43" ht="14.25" customHeight="1">
      <c r="A43" s="4" t="s">
        <v>84</v>
      </c>
      <c r="B43" s="4" t="s">
        <v>27</v>
      </c>
      <c r="C43" s="4">
        <v>10.0</v>
      </c>
      <c r="D43" s="4" t="s">
        <v>28</v>
      </c>
      <c r="E43" s="4" t="s">
        <v>27</v>
      </c>
      <c r="F43" s="4">
        <v>31.0</v>
      </c>
      <c r="G43" s="4" t="s">
        <v>29</v>
      </c>
      <c r="H43" s="4" t="s">
        <v>30</v>
      </c>
      <c r="I43" s="4" t="s">
        <v>31</v>
      </c>
      <c r="J43" s="7">
        <v>10.0</v>
      </c>
      <c r="K43" s="4">
        <v>41.0</v>
      </c>
      <c r="L43" s="4">
        <v>43.0</v>
      </c>
      <c r="M43" s="4">
        <v>2.0</v>
      </c>
      <c r="N43" s="4" t="s">
        <v>44</v>
      </c>
      <c r="O43" s="4">
        <f t="shared" si="1"/>
        <v>8</v>
      </c>
      <c r="P43" s="6">
        <v>2.113366</v>
      </c>
      <c r="Q43" s="6">
        <v>1.813973</v>
      </c>
      <c r="R43" s="6">
        <v>-0.29939</v>
      </c>
      <c r="S43" s="4">
        <v>27.0</v>
      </c>
      <c r="T43" s="4" t="s">
        <v>22</v>
      </c>
      <c r="U43" s="4" t="s">
        <v>67</v>
      </c>
      <c r="V43" s="4"/>
      <c r="W43" s="4"/>
      <c r="X43" s="4"/>
      <c r="Y43" s="4"/>
      <c r="Z43" s="4"/>
      <c r="AA43" s="4"/>
      <c r="AB43" s="4"/>
      <c r="AC43" s="4"/>
      <c r="AD43" s="4"/>
    </row>
    <row r="44" ht="14.25" customHeight="1">
      <c r="A44" s="4" t="s">
        <v>84</v>
      </c>
      <c r="B44" s="4" t="s">
        <v>27</v>
      </c>
      <c r="C44" s="4">
        <v>10.0</v>
      </c>
      <c r="D44" s="4" t="s">
        <v>28</v>
      </c>
      <c r="E44" s="4" t="s">
        <v>27</v>
      </c>
      <c r="F44" s="4">
        <v>3.0</v>
      </c>
      <c r="G44" s="4" t="s">
        <v>87</v>
      </c>
      <c r="H44" s="4" t="s">
        <v>82</v>
      </c>
      <c r="I44" s="4" t="s">
        <v>47</v>
      </c>
      <c r="J44" s="4">
        <f t="shared" ref="J44:J45" si="7">J43-M43</f>
        <v>8</v>
      </c>
      <c r="K44" s="4">
        <v>43.0</v>
      </c>
      <c r="L44" s="4">
        <v>43.0</v>
      </c>
      <c r="M44" s="4">
        <v>0.0</v>
      </c>
      <c r="N44" s="4" t="s">
        <v>51</v>
      </c>
      <c r="O44" s="4">
        <f t="shared" si="1"/>
        <v>8</v>
      </c>
      <c r="P44" s="6">
        <v>1.813973</v>
      </c>
      <c r="Q44" s="6">
        <v>0.989085</v>
      </c>
      <c r="R44" s="6">
        <v>-0.82489</v>
      </c>
      <c r="S44" s="4" t="s">
        <v>23</v>
      </c>
      <c r="T44" s="4" t="s">
        <v>23</v>
      </c>
      <c r="U44" s="4" t="s">
        <v>23</v>
      </c>
      <c r="V44" s="4"/>
      <c r="W44" s="4"/>
      <c r="X44" s="4"/>
      <c r="Y44" s="4"/>
      <c r="Z44" s="4"/>
      <c r="AA44" s="4"/>
      <c r="AB44" s="4"/>
      <c r="AC44" s="4"/>
      <c r="AD44" s="4"/>
    </row>
    <row r="45" ht="14.25" customHeight="1">
      <c r="A45" s="4" t="s">
        <v>84</v>
      </c>
      <c r="B45" s="4" t="s">
        <v>27</v>
      </c>
      <c r="C45" s="4">
        <v>10.0</v>
      </c>
      <c r="D45" s="4" t="s">
        <v>28</v>
      </c>
      <c r="E45" s="4" t="s">
        <v>27</v>
      </c>
      <c r="F45" s="4">
        <v>8.0</v>
      </c>
      <c r="G45" s="4" t="s">
        <v>83</v>
      </c>
      <c r="H45" s="4" t="s">
        <v>43</v>
      </c>
      <c r="I45" s="4" t="s">
        <v>55</v>
      </c>
      <c r="J45" s="4">
        <f t="shared" si="7"/>
        <v>8</v>
      </c>
      <c r="K45" s="4">
        <v>43.0</v>
      </c>
      <c r="L45" s="4">
        <v>-32.0</v>
      </c>
      <c r="M45" s="4">
        <v>25.0</v>
      </c>
      <c r="N45" s="4" t="s">
        <v>39</v>
      </c>
      <c r="O45" s="4">
        <f t="shared" si="1"/>
        <v>10</v>
      </c>
      <c r="P45" s="6">
        <v>0.989085</v>
      </c>
      <c r="Q45" s="6">
        <v>3.641137</v>
      </c>
      <c r="R45" s="6">
        <v>2.652052</v>
      </c>
      <c r="S45" s="4" t="s">
        <v>23</v>
      </c>
      <c r="T45" s="4" t="s">
        <v>23</v>
      </c>
      <c r="U45" s="4" t="s">
        <v>23</v>
      </c>
      <c r="V45" s="4"/>
      <c r="W45" s="4"/>
      <c r="X45" s="4"/>
      <c r="Y45" s="4"/>
      <c r="Z45" s="4"/>
      <c r="AA45" s="4"/>
      <c r="AB45" s="4"/>
      <c r="AC45" s="4"/>
      <c r="AD45" s="4"/>
    </row>
    <row r="46" ht="14.25" customHeight="1">
      <c r="A46" s="4" t="s">
        <v>84</v>
      </c>
      <c r="B46" s="4" t="s">
        <v>27</v>
      </c>
      <c r="C46" s="4">
        <v>10.0</v>
      </c>
      <c r="D46" s="4" t="s">
        <v>28</v>
      </c>
      <c r="E46" s="4" t="s">
        <v>27</v>
      </c>
      <c r="F46" s="4">
        <v>31.0</v>
      </c>
      <c r="G46" s="4" t="s">
        <v>29</v>
      </c>
      <c r="H46" s="4" t="s">
        <v>30</v>
      </c>
      <c r="I46" s="4" t="s">
        <v>31</v>
      </c>
      <c r="J46" s="7">
        <v>10.0</v>
      </c>
      <c r="K46" s="4">
        <v>-32.0</v>
      </c>
      <c r="L46" s="4">
        <v>-28.0</v>
      </c>
      <c r="M46" s="4">
        <v>4.0</v>
      </c>
      <c r="N46" s="4" t="s">
        <v>44</v>
      </c>
      <c r="O46" s="4">
        <f t="shared" si="1"/>
        <v>6</v>
      </c>
      <c r="P46" s="6">
        <v>3.641137</v>
      </c>
      <c r="Q46" s="6">
        <v>3.610853</v>
      </c>
      <c r="R46" s="6">
        <v>-0.03028</v>
      </c>
      <c r="S46" s="4">
        <v>2.0</v>
      </c>
      <c r="T46" s="4" t="s">
        <v>22</v>
      </c>
      <c r="U46" s="4" t="s">
        <v>66</v>
      </c>
      <c r="V46" s="4"/>
      <c r="W46" s="4"/>
      <c r="X46" s="4"/>
      <c r="Y46" s="4"/>
      <c r="Z46" s="4"/>
      <c r="AA46" s="4"/>
      <c r="AB46" s="4"/>
      <c r="AC46" s="4"/>
      <c r="AD46" s="4"/>
    </row>
    <row r="47" ht="14.25" customHeight="1">
      <c r="A47" s="4" t="s">
        <v>84</v>
      </c>
      <c r="B47" s="4" t="s">
        <v>27</v>
      </c>
      <c r="C47" s="4">
        <v>10.0</v>
      </c>
      <c r="D47" s="4" t="s">
        <v>28</v>
      </c>
      <c r="E47" s="4" t="s">
        <v>27</v>
      </c>
      <c r="F47" s="4">
        <v>10.0</v>
      </c>
      <c r="G47" s="4" t="s">
        <v>28</v>
      </c>
      <c r="H47" s="4" t="s">
        <v>30</v>
      </c>
      <c r="I47" s="4" t="s">
        <v>47</v>
      </c>
      <c r="J47" s="4">
        <f t="shared" ref="J47:J48" si="8">J46-M46</f>
        <v>6</v>
      </c>
      <c r="K47" s="4">
        <v>-28.0</v>
      </c>
      <c r="L47" s="4">
        <v>-23.0</v>
      </c>
      <c r="M47" s="4">
        <v>5.0</v>
      </c>
      <c r="N47" s="4" t="s">
        <v>51</v>
      </c>
      <c r="O47" s="4">
        <f t="shared" si="1"/>
        <v>1</v>
      </c>
      <c r="P47" s="6">
        <v>3.610853</v>
      </c>
      <c r="Q47" s="6">
        <v>3.681476</v>
      </c>
      <c r="R47" s="6">
        <v>0.070623</v>
      </c>
      <c r="S47" s="4">
        <v>79.0</v>
      </c>
      <c r="T47" s="4" t="s">
        <v>22</v>
      </c>
      <c r="U47" s="4" t="s">
        <v>90</v>
      </c>
      <c r="V47" s="4"/>
      <c r="W47" s="4"/>
      <c r="X47" s="4"/>
      <c r="Y47" s="4"/>
      <c r="Z47" s="4"/>
      <c r="AA47" s="4"/>
      <c r="AB47" s="4"/>
      <c r="AC47" s="4"/>
      <c r="AD47" s="4"/>
    </row>
    <row r="48" ht="14.25" customHeight="1">
      <c r="A48" s="4" t="s">
        <v>84</v>
      </c>
      <c r="B48" s="4" t="s">
        <v>27</v>
      </c>
      <c r="C48" s="4">
        <v>31.0</v>
      </c>
      <c r="D48" s="4" t="s">
        <v>29</v>
      </c>
      <c r="E48" s="4" t="s">
        <v>27</v>
      </c>
      <c r="F48" s="4">
        <v>31.0</v>
      </c>
      <c r="G48" s="4" t="s">
        <v>29</v>
      </c>
      <c r="H48" s="4" t="s">
        <v>30</v>
      </c>
      <c r="I48" s="4" t="s">
        <v>55</v>
      </c>
      <c r="J48" s="4">
        <f t="shared" si="8"/>
        <v>1</v>
      </c>
      <c r="K48" s="4">
        <v>-23.0</v>
      </c>
      <c r="L48" s="4">
        <v>-15.0</v>
      </c>
      <c r="M48" s="4">
        <v>8.0</v>
      </c>
      <c r="N48" s="4" t="s">
        <v>39</v>
      </c>
      <c r="O48" s="4">
        <f t="shared" si="1"/>
        <v>10</v>
      </c>
      <c r="P48" s="6">
        <v>3.681476</v>
      </c>
      <c r="Q48" s="6">
        <v>4.282</v>
      </c>
      <c r="R48" s="6">
        <v>0.600523</v>
      </c>
      <c r="S48" s="4">
        <v>0.0</v>
      </c>
      <c r="T48" s="4" t="s">
        <v>22</v>
      </c>
      <c r="U48" s="4" t="s">
        <v>91</v>
      </c>
      <c r="V48" s="4"/>
      <c r="W48" s="4"/>
      <c r="X48" s="4"/>
      <c r="Y48" s="4"/>
      <c r="Z48" s="4"/>
      <c r="AA48" s="4"/>
      <c r="AB48" s="4"/>
      <c r="AC48" s="4"/>
      <c r="AD48" s="4"/>
    </row>
    <row r="49" ht="14.25" customHeight="1">
      <c r="A49" s="4" t="s">
        <v>84</v>
      </c>
      <c r="B49" s="4" t="s">
        <v>27</v>
      </c>
      <c r="C49" s="4" t="s">
        <v>23</v>
      </c>
      <c r="D49" s="4" t="s">
        <v>23</v>
      </c>
      <c r="E49" s="4" t="s">
        <v>27</v>
      </c>
      <c r="F49" s="4" t="s">
        <v>23</v>
      </c>
      <c r="G49" s="4" t="s">
        <v>23</v>
      </c>
      <c r="H49" s="4" t="s">
        <v>74</v>
      </c>
      <c r="I49" s="4" t="s">
        <v>31</v>
      </c>
      <c r="J49" s="7">
        <v>10.0</v>
      </c>
      <c r="K49" s="4">
        <v>-15.0</v>
      </c>
      <c r="L49" s="4">
        <v>-20.0</v>
      </c>
      <c r="M49" s="4">
        <v>-5.0</v>
      </c>
      <c r="N49" s="4" t="s">
        <v>39</v>
      </c>
      <c r="O49" s="4">
        <f t="shared" si="1"/>
        <v>15</v>
      </c>
      <c r="P49" s="6">
        <v>4.282</v>
      </c>
      <c r="Q49" s="6">
        <v>3.857432</v>
      </c>
      <c r="R49" s="6">
        <v>-0.42457</v>
      </c>
      <c r="S49" s="4" t="s">
        <v>23</v>
      </c>
      <c r="T49" s="4" t="s">
        <v>23</v>
      </c>
      <c r="U49" s="4" t="s">
        <v>23</v>
      </c>
      <c r="V49" s="4"/>
      <c r="W49" s="4"/>
      <c r="X49" s="4"/>
      <c r="Y49" s="4"/>
      <c r="Z49" s="4"/>
      <c r="AA49" s="4"/>
      <c r="AB49" s="4"/>
      <c r="AC49" s="4"/>
      <c r="AD49" s="4"/>
    </row>
    <row r="50" ht="14.25" customHeight="1">
      <c r="A50" s="4" t="s">
        <v>84</v>
      </c>
      <c r="B50" s="4" t="s">
        <v>27</v>
      </c>
      <c r="C50" s="4">
        <v>10.0</v>
      </c>
      <c r="D50" s="4" t="s">
        <v>28</v>
      </c>
      <c r="E50" s="4" t="s">
        <v>27</v>
      </c>
      <c r="F50" s="4">
        <v>31.0</v>
      </c>
      <c r="G50" s="4" t="s">
        <v>29</v>
      </c>
      <c r="H50" s="4" t="s">
        <v>30</v>
      </c>
      <c r="I50" s="4" t="s">
        <v>31</v>
      </c>
      <c r="J50" s="4">
        <f t="shared" ref="J50:J53" si="9">J49-M49</f>
        <v>15</v>
      </c>
      <c r="K50" s="4">
        <v>-20.0</v>
      </c>
      <c r="L50" s="4">
        <v>-18.0</v>
      </c>
      <c r="M50" s="4">
        <v>2.0</v>
      </c>
      <c r="N50" s="4" t="s">
        <v>44</v>
      </c>
      <c r="O50" s="4">
        <f t="shared" si="1"/>
        <v>13</v>
      </c>
      <c r="P50" s="6">
        <v>3.857432</v>
      </c>
      <c r="Q50" s="6">
        <v>3.838565</v>
      </c>
      <c r="R50" s="6">
        <v>-0.01887</v>
      </c>
      <c r="S50" s="4">
        <v>2.0</v>
      </c>
      <c r="T50" s="4" t="s">
        <v>22</v>
      </c>
      <c r="U50" s="4" t="s">
        <v>66</v>
      </c>
      <c r="V50" s="4"/>
      <c r="W50" s="4"/>
      <c r="X50" s="4"/>
      <c r="Y50" s="4"/>
      <c r="Z50" s="4"/>
      <c r="AA50" s="4"/>
      <c r="AB50" s="4"/>
      <c r="AC50" s="4"/>
      <c r="AD50" s="4"/>
    </row>
    <row r="51" ht="14.25" customHeight="1">
      <c r="A51" s="4" t="s">
        <v>84</v>
      </c>
      <c r="B51" s="4" t="s">
        <v>27</v>
      </c>
      <c r="C51" s="4">
        <v>10.0</v>
      </c>
      <c r="D51" s="4" t="s">
        <v>28</v>
      </c>
      <c r="E51" s="4" t="s">
        <v>27</v>
      </c>
      <c r="F51" s="4">
        <v>10.0</v>
      </c>
      <c r="G51" s="4" t="s">
        <v>28</v>
      </c>
      <c r="H51" s="4" t="s">
        <v>30</v>
      </c>
      <c r="I51" s="4" t="s">
        <v>47</v>
      </c>
      <c r="J51" s="4">
        <f t="shared" si="9"/>
        <v>13</v>
      </c>
      <c r="K51" s="4">
        <v>-18.0</v>
      </c>
      <c r="L51" s="4">
        <v>-12.0</v>
      </c>
      <c r="M51" s="4">
        <v>6.0</v>
      </c>
      <c r="N51" s="4" t="s">
        <v>51</v>
      </c>
      <c r="O51" s="4">
        <f t="shared" si="1"/>
        <v>7</v>
      </c>
      <c r="P51" s="6">
        <v>3.838565</v>
      </c>
      <c r="Q51" s="6">
        <v>3.287756</v>
      </c>
      <c r="R51" s="6">
        <v>-0.55081</v>
      </c>
      <c r="S51" s="4">
        <v>29.0</v>
      </c>
      <c r="T51" s="4" t="s">
        <v>22</v>
      </c>
      <c r="U51" s="4" t="s">
        <v>63</v>
      </c>
      <c r="V51" s="4"/>
      <c r="W51" s="4"/>
      <c r="X51" s="4"/>
      <c r="Y51" s="4"/>
      <c r="Z51" s="4"/>
      <c r="AA51" s="4"/>
      <c r="AB51" s="4"/>
      <c r="AC51" s="4"/>
      <c r="AD51" s="4"/>
    </row>
    <row r="52" ht="14.25" customHeight="1">
      <c r="A52" s="4" t="s">
        <v>84</v>
      </c>
      <c r="B52" s="4" t="s">
        <v>27</v>
      </c>
      <c r="C52" s="4">
        <v>10.0</v>
      </c>
      <c r="D52" s="4" t="s">
        <v>28</v>
      </c>
      <c r="E52" s="4" t="s">
        <v>27</v>
      </c>
      <c r="F52" s="4">
        <v>6.0</v>
      </c>
      <c r="G52" s="4" t="s">
        <v>92</v>
      </c>
      <c r="H52" s="4" t="s">
        <v>82</v>
      </c>
      <c r="I52" s="4" t="s">
        <v>55</v>
      </c>
      <c r="J52" s="4">
        <f t="shared" si="9"/>
        <v>7</v>
      </c>
      <c r="K52" s="4">
        <v>-12.0</v>
      </c>
      <c r="L52" s="4">
        <v>-12.0</v>
      </c>
      <c r="M52" s="4">
        <v>0.0</v>
      </c>
      <c r="N52" s="4" t="s">
        <v>56</v>
      </c>
      <c r="O52" s="4">
        <f t="shared" si="1"/>
        <v>7</v>
      </c>
      <c r="P52" s="6">
        <v>3.287756</v>
      </c>
      <c r="Q52" s="6">
        <v>2.798019</v>
      </c>
      <c r="R52" s="6">
        <v>-0.48974</v>
      </c>
      <c r="S52" s="4" t="s">
        <v>23</v>
      </c>
      <c r="T52" s="4" t="s">
        <v>23</v>
      </c>
      <c r="U52" s="4" t="s">
        <v>23</v>
      </c>
      <c r="V52" s="4"/>
      <c r="W52" s="4"/>
      <c r="X52" s="4"/>
      <c r="Y52" s="4"/>
      <c r="Z52" s="4"/>
      <c r="AA52" s="4"/>
      <c r="AB52" s="4"/>
      <c r="AC52" s="4"/>
      <c r="AD52" s="4"/>
    </row>
    <row r="53" ht="14.25" customHeight="1">
      <c r="A53" s="4" t="s">
        <v>84</v>
      </c>
      <c r="B53" s="4" t="s">
        <v>27</v>
      </c>
      <c r="C53" s="4" t="s">
        <v>23</v>
      </c>
      <c r="D53" s="4" t="s">
        <v>23</v>
      </c>
      <c r="E53" s="4" t="s">
        <v>27</v>
      </c>
      <c r="F53" s="4">
        <v>42.0</v>
      </c>
      <c r="G53" s="4" t="s">
        <v>33</v>
      </c>
      <c r="H53" s="4" t="s">
        <v>68</v>
      </c>
      <c r="I53" s="4" t="s">
        <v>59</v>
      </c>
      <c r="J53" s="4">
        <f t="shared" si="9"/>
        <v>7</v>
      </c>
      <c r="K53" s="4">
        <v>-19.0</v>
      </c>
      <c r="L53" s="4">
        <v>0.0</v>
      </c>
      <c r="M53" s="4">
        <v>29.0</v>
      </c>
      <c r="N53" s="4" t="s">
        <v>69</v>
      </c>
      <c r="O53" s="4" t="str">
        <f t="shared" si="1"/>
        <v/>
      </c>
      <c r="P53" s="6">
        <v>2.798019</v>
      </c>
      <c r="Q53" s="5">
        <v>3.0</v>
      </c>
      <c r="R53" s="6">
        <f>Q53-P53</f>
        <v>0.201981</v>
      </c>
      <c r="S53" s="4" t="s">
        <v>23</v>
      </c>
      <c r="T53" s="4" t="s">
        <v>23</v>
      </c>
      <c r="U53" s="4" t="s">
        <v>23</v>
      </c>
      <c r="V53" s="4"/>
      <c r="W53" s="4"/>
      <c r="X53" s="4"/>
      <c r="Y53" s="4"/>
      <c r="Z53" s="4"/>
      <c r="AA53" s="4"/>
      <c r="AB53" s="4"/>
      <c r="AC53" s="4"/>
      <c r="AD53" s="4"/>
    </row>
    <row r="54" ht="14.25" customHeight="1">
      <c r="A54" s="4" t="s">
        <v>84</v>
      </c>
      <c r="B54" s="4" t="s">
        <v>27</v>
      </c>
      <c r="C54" s="4" t="s">
        <v>23</v>
      </c>
      <c r="D54" s="4" t="s">
        <v>23</v>
      </c>
      <c r="E54" s="4" t="s">
        <v>27</v>
      </c>
      <c r="F54" s="4">
        <v>42.0</v>
      </c>
      <c r="G54" s="4" t="s">
        <v>33</v>
      </c>
      <c r="H54" s="4" t="s">
        <v>25</v>
      </c>
      <c r="I54" s="4" t="s">
        <v>23</v>
      </c>
      <c r="J54" s="4"/>
      <c r="K54" s="4">
        <v>35.0</v>
      </c>
      <c r="L54" s="4">
        <v>-3.0</v>
      </c>
      <c r="M54" s="4">
        <v>62.0</v>
      </c>
      <c r="N54" s="4" t="s">
        <v>36</v>
      </c>
      <c r="O54" s="4" t="str">
        <f t="shared" si="1"/>
        <v/>
      </c>
      <c r="P54" s="8"/>
      <c r="Q54" s="8"/>
      <c r="R54" s="6">
        <v>0.0</v>
      </c>
      <c r="S54" s="4" t="s">
        <v>23</v>
      </c>
      <c r="T54" s="4" t="s">
        <v>23</v>
      </c>
      <c r="U54" s="4" t="s">
        <v>23</v>
      </c>
      <c r="V54" s="4"/>
      <c r="W54" s="4"/>
      <c r="X54" s="4"/>
      <c r="Y54" s="4"/>
      <c r="Z54" s="4"/>
      <c r="AA54" s="4"/>
      <c r="AB54" s="4"/>
      <c r="AC54" s="4"/>
      <c r="AD54" s="4"/>
    </row>
    <row r="55" ht="14.25" customHeight="1">
      <c r="A55" s="4" t="s">
        <v>84</v>
      </c>
      <c r="B55" s="4" t="s">
        <v>22</v>
      </c>
      <c r="C55" s="4" t="s">
        <v>23</v>
      </c>
      <c r="D55" s="4" t="s">
        <v>23</v>
      </c>
      <c r="E55" s="4" t="s">
        <v>22</v>
      </c>
      <c r="F55" s="4">
        <v>81.0</v>
      </c>
      <c r="G55" s="4" t="s">
        <v>37</v>
      </c>
      <c r="H55" s="4" t="s">
        <v>38</v>
      </c>
      <c r="I55" s="4" t="s">
        <v>23</v>
      </c>
      <c r="J55" s="4"/>
      <c r="K55" s="4">
        <v>3.0</v>
      </c>
      <c r="L55" s="4">
        <v>23.0</v>
      </c>
      <c r="M55" s="4">
        <v>20.0</v>
      </c>
      <c r="N55" s="4" t="s">
        <v>39</v>
      </c>
      <c r="O55" s="4">
        <f t="shared" si="1"/>
        <v>10</v>
      </c>
      <c r="P55" s="5">
        <v>0.0</v>
      </c>
      <c r="Q55" s="6">
        <v>0.729934</v>
      </c>
      <c r="R55" s="6">
        <f>Q55-P55</f>
        <v>0.729934</v>
      </c>
      <c r="S55" s="4">
        <v>46.0</v>
      </c>
      <c r="T55" s="4" t="s">
        <v>27</v>
      </c>
      <c r="U55" s="4" t="s">
        <v>23</v>
      </c>
      <c r="V55" s="4"/>
      <c r="W55" s="4"/>
      <c r="X55" s="4"/>
      <c r="Y55" s="4"/>
      <c r="Z55" s="4"/>
      <c r="AA55" s="4"/>
      <c r="AB55" s="4"/>
      <c r="AC55" s="4"/>
      <c r="AD55" s="4"/>
    </row>
    <row r="56" ht="14.25" customHeight="1">
      <c r="A56" s="4" t="s">
        <v>84</v>
      </c>
      <c r="B56" s="4" t="s">
        <v>22</v>
      </c>
      <c r="C56" s="4">
        <v>15.0</v>
      </c>
      <c r="D56" s="4" t="s">
        <v>41</v>
      </c>
      <c r="E56" s="4" t="s">
        <v>22</v>
      </c>
      <c r="F56" s="4">
        <v>17.0</v>
      </c>
      <c r="G56" s="4" t="s">
        <v>93</v>
      </c>
      <c r="H56" s="4" t="s">
        <v>43</v>
      </c>
      <c r="I56" s="4" t="s">
        <v>31</v>
      </c>
      <c r="J56" s="7">
        <v>10.0</v>
      </c>
      <c r="K56" s="4">
        <v>23.0</v>
      </c>
      <c r="L56" s="4">
        <v>0.0</v>
      </c>
      <c r="M56" s="4">
        <v>77.0</v>
      </c>
      <c r="N56" s="4" t="s">
        <v>32</v>
      </c>
      <c r="O56" s="4" t="str">
        <f t="shared" si="1"/>
        <v/>
      </c>
      <c r="P56" s="6">
        <v>0.729934</v>
      </c>
      <c r="Q56" s="6">
        <v>7.0</v>
      </c>
      <c r="R56" s="6">
        <v>6.270066</v>
      </c>
      <c r="S56" s="4" t="s">
        <v>23</v>
      </c>
      <c r="T56" s="4" t="s">
        <v>23</v>
      </c>
      <c r="U56" s="4" t="s">
        <v>23</v>
      </c>
      <c r="V56" s="4"/>
      <c r="W56" s="4"/>
      <c r="X56" s="4"/>
      <c r="Y56" s="4"/>
      <c r="Z56" s="4"/>
      <c r="AA56" s="4"/>
      <c r="AB56" s="4"/>
      <c r="AC56" s="4"/>
      <c r="AD56" s="4"/>
    </row>
    <row r="57" ht="14.25" customHeight="1">
      <c r="A57" s="4" t="s">
        <v>84</v>
      </c>
      <c r="B57" s="4" t="s">
        <v>22</v>
      </c>
      <c r="C57" s="4" t="s">
        <v>23</v>
      </c>
      <c r="D57" s="4" t="s">
        <v>23</v>
      </c>
      <c r="E57" s="4" t="s">
        <v>22</v>
      </c>
      <c r="F57" s="4">
        <v>28.0</v>
      </c>
      <c r="G57" s="4" t="s">
        <v>24</v>
      </c>
      <c r="H57" s="4" t="s">
        <v>34</v>
      </c>
      <c r="I57" s="4" t="s">
        <v>23</v>
      </c>
      <c r="J57" s="4"/>
      <c r="K57" s="4">
        <v>-10.0</v>
      </c>
      <c r="L57" s="4">
        <v>0.0</v>
      </c>
      <c r="M57" s="4">
        <v>20.0</v>
      </c>
      <c r="N57" s="4" t="s">
        <v>94</v>
      </c>
      <c r="O57" s="4" t="str">
        <f t="shared" si="1"/>
        <v/>
      </c>
      <c r="P57" s="8"/>
      <c r="Q57" s="8"/>
      <c r="R57" s="6">
        <v>0.0</v>
      </c>
      <c r="S57" s="4" t="s">
        <v>23</v>
      </c>
      <c r="T57" s="4" t="s">
        <v>23</v>
      </c>
      <c r="U57" s="4" t="s">
        <v>23</v>
      </c>
      <c r="V57" s="4"/>
      <c r="W57" s="4"/>
      <c r="X57" s="4"/>
      <c r="Y57" s="4"/>
      <c r="Z57" s="4"/>
      <c r="AA57" s="4"/>
      <c r="AB57" s="4"/>
      <c r="AC57" s="4"/>
      <c r="AD57" s="4"/>
    </row>
    <row r="58" ht="14.25" customHeight="1">
      <c r="A58" s="4" t="s">
        <v>84</v>
      </c>
      <c r="B58" s="4" t="s">
        <v>22</v>
      </c>
      <c r="C58" s="4" t="s">
        <v>23</v>
      </c>
      <c r="D58" s="4" t="s">
        <v>23</v>
      </c>
      <c r="E58" s="4" t="s">
        <v>22</v>
      </c>
      <c r="F58" s="4">
        <v>28.0</v>
      </c>
      <c r="G58" s="4" t="s">
        <v>24</v>
      </c>
      <c r="H58" s="4" t="s">
        <v>25</v>
      </c>
      <c r="I58" s="4" t="s">
        <v>23</v>
      </c>
      <c r="J58" s="4"/>
      <c r="K58" s="4">
        <v>35.0</v>
      </c>
      <c r="L58" s="4">
        <v>0.0</v>
      </c>
      <c r="M58" s="4">
        <v>65.0</v>
      </c>
      <c r="N58" s="4" t="s">
        <v>36</v>
      </c>
      <c r="O58" s="4" t="str">
        <f t="shared" si="1"/>
        <v/>
      </c>
      <c r="P58" s="8"/>
      <c r="Q58" s="8"/>
      <c r="R58" s="6">
        <v>0.0</v>
      </c>
      <c r="S58" s="4" t="s">
        <v>23</v>
      </c>
      <c r="T58" s="4" t="s">
        <v>23</v>
      </c>
      <c r="U58" s="4" t="s">
        <v>23</v>
      </c>
      <c r="V58" s="4"/>
      <c r="W58" s="4"/>
      <c r="X58" s="4"/>
      <c r="Y58" s="4"/>
      <c r="Z58" s="4"/>
      <c r="AA58" s="4"/>
      <c r="AB58" s="4"/>
      <c r="AC58" s="4"/>
      <c r="AD58" s="4"/>
    </row>
    <row r="59" ht="14.25" customHeight="1">
      <c r="A59" s="4" t="s">
        <v>84</v>
      </c>
      <c r="B59" s="4" t="s">
        <v>27</v>
      </c>
      <c r="C59" s="4" t="s">
        <v>23</v>
      </c>
      <c r="D59" s="4" t="s">
        <v>23</v>
      </c>
      <c r="E59" s="4" t="s">
        <v>27</v>
      </c>
      <c r="F59" s="4">
        <v>20.0</v>
      </c>
      <c r="G59" s="4" t="s">
        <v>65</v>
      </c>
      <c r="H59" s="4" t="s">
        <v>38</v>
      </c>
      <c r="I59" s="4" t="s">
        <v>23</v>
      </c>
      <c r="J59" s="4"/>
      <c r="K59" s="4">
        <v>0.0</v>
      </c>
      <c r="L59" s="4">
        <v>28.0</v>
      </c>
      <c r="M59" s="4">
        <v>28.0</v>
      </c>
      <c r="N59" s="4" t="s">
        <v>39</v>
      </c>
      <c r="O59" s="4">
        <f t="shared" si="1"/>
        <v>10</v>
      </c>
      <c r="P59" s="5">
        <v>0.0</v>
      </c>
      <c r="Q59" s="6">
        <v>1.136436</v>
      </c>
      <c r="R59" s="6">
        <f>Q59-P59</f>
        <v>1.136436</v>
      </c>
      <c r="S59" s="4" t="s">
        <v>23</v>
      </c>
      <c r="T59" s="4" t="s">
        <v>23</v>
      </c>
      <c r="U59" s="4" t="s">
        <v>23</v>
      </c>
      <c r="V59" s="4"/>
      <c r="W59" s="4"/>
      <c r="X59" s="4"/>
      <c r="Y59" s="4"/>
      <c r="Z59" s="4"/>
      <c r="AA59" s="4"/>
      <c r="AB59" s="4"/>
      <c r="AC59" s="4"/>
      <c r="AD59" s="4"/>
    </row>
    <row r="60" ht="14.25" customHeight="1">
      <c r="A60" s="4" t="s">
        <v>84</v>
      </c>
      <c r="B60" s="4" t="s">
        <v>27</v>
      </c>
      <c r="C60" s="4">
        <v>10.0</v>
      </c>
      <c r="D60" s="4" t="s">
        <v>28</v>
      </c>
      <c r="E60" s="4" t="s">
        <v>27</v>
      </c>
      <c r="F60" s="4">
        <v>31.0</v>
      </c>
      <c r="G60" s="4" t="s">
        <v>29</v>
      </c>
      <c r="H60" s="4" t="s">
        <v>30</v>
      </c>
      <c r="I60" s="4" t="s">
        <v>31</v>
      </c>
      <c r="J60" s="7">
        <v>10.0</v>
      </c>
      <c r="K60" s="4">
        <v>28.0</v>
      </c>
      <c r="L60" s="4">
        <v>28.0</v>
      </c>
      <c r="M60" s="4">
        <v>0.0</v>
      </c>
      <c r="N60" s="4" t="s">
        <v>44</v>
      </c>
      <c r="O60" s="4">
        <f t="shared" si="1"/>
        <v>10</v>
      </c>
      <c r="P60" s="6">
        <v>1.136436</v>
      </c>
      <c r="Q60" s="6">
        <v>0.520735</v>
      </c>
      <c r="R60" s="6">
        <v>-0.6157</v>
      </c>
      <c r="S60" s="4">
        <v>91.0</v>
      </c>
      <c r="T60" s="4" t="s">
        <v>22</v>
      </c>
      <c r="U60" s="4" t="s">
        <v>95</v>
      </c>
      <c r="V60" s="4"/>
      <c r="W60" s="4"/>
      <c r="X60" s="4"/>
      <c r="Y60" s="4"/>
      <c r="Z60" s="4"/>
      <c r="AA60" s="4"/>
      <c r="AB60" s="4"/>
      <c r="AC60" s="4"/>
      <c r="AD60" s="4"/>
    </row>
    <row r="61" ht="14.25" customHeight="1">
      <c r="A61" s="4" t="s">
        <v>84</v>
      </c>
      <c r="B61" s="4" t="s">
        <v>27</v>
      </c>
      <c r="C61" s="4">
        <v>10.0</v>
      </c>
      <c r="D61" s="4" t="s">
        <v>28</v>
      </c>
      <c r="E61" s="4" t="s">
        <v>27</v>
      </c>
      <c r="F61" s="4">
        <v>31.0</v>
      </c>
      <c r="G61" s="4" t="s">
        <v>29</v>
      </c>
      <c r="H61" s="4" t="s">
        <v>30</v>
      </c>
      <c r="I61" s="4" t="s">
        <v>47</v>
      </c>
      <c r="J61" s="4">
        <f t="shared" ref="J61:J62" si="10">J60-M60</f>
        <v>10</v>
      </c>
      <c r="K61" s="4">
        <v>28.0</v>
      </c>
      <c r="L61" s="4">
        <v>33.0</v>
      </c>
      <c r="M61" s="4">
        <v>5.0</v>
      </c>
      <c r="N61" s="4" t="s">
        <v>51</v>
      </c>
      <c r="O61" s="4">
        <f t="shared" si="1"/>
        <v>5</v>
      </c>
      <c r="P61" s="6">
        <v>0.520735</v>
      </c>
      <c r="Q61" s="6">
        <v>0.4793</v>
      </c>
      <c r="R61" s="6">
        <v>-0.04144</v>
      </c>
      <c r="S61" s="4">
        <v>91.0</v>
      </c>
      <c r="T61" s="4" t="s">
        <v>22</v>
      </c>
      <c r="U61" s="4" t="s">
        <v>95</v>
      </c>
      <c r="V61" s="4"/>
      <c r="W61" s="4"/>
      <c r="X61" s="4"/>
      <c r="Y61" s="4"/>
      <c r="Z61" s="4"/>
      <c r="AA61" s="4"/>
      <c r="AB61" s="4"/>
      <c r="AC61" s="4"/>
      <c r="AD61" s="4"/>
    </row>
    <row r="62" ht="14.25" customHeight="1">
      <c r="A62" s="4" t="s">
        <v>84</v>
      </c>
      <c r="B62" s="4" t="s">
        <v>27</v>
      </c>
      <c r="C62" s="4">
        <v>10.0</v>
      </c>
      <c r="D62" s="4" t="s">
        <v>28</v>
      </c>
      <c r="E62" s="4" t="s">
        <v>27</v>
      </c>
      <c r="F62" s="4">
        <v>82.0</v>
      </c>
      <c r="G62" s="4" t="s">
        <v>81</v>
      </c>
      <c r="H62" s="4" t="s">
        <v>43</v>
      </c>
      <c r="I62" s="4" t="s">
        <v>55</v>
      </c>
      <c r="J62" s="4">
        <f t="shared" si="10"/>
        <v>5</v>
      </c>
      <c r="K62" s="4">
        <v>33.0</v>
      </c>
      <c r="L62" s="4">
        <v>45.0</v>
      </c>
      <c r="M62" s="4">
        <v>12.0</v>
      </c>
      <c r="N62" s="4" t="s">
        <v>39</v>
      </c>
      <c r="O62" s="4">
        <f t="shared" si="1"/>
        <v>10</v>
      </c>
      <c r="P62" s="6">
        <v>0.4793</v>
      </c>
      <c r="Q62" s="6">
        <v>2.387414</v>
      </c>
      <c r="R62" s="6">
        <v>1.908115</v>
      </c>
      <c r="S62" s="4" t="s">
        <v>23</v>
      </c>
      <c r="T62" s="4" t="s">
        <v>23</v>
      </c>
      <c r="U62" s="4" t="s">
        <v>23</v>
      </c>
      <c r="V62" s="4"/>
      <c r="W62" s="4"/>
      <c r="X62" s="4"/>
      <c r="Y62" s="4"/>
      <c r="Z62" s="4"/>
      <c r="AA62" s="4"/>
      <c r="AB62" s="4"/>
      <c r="AC62" s="4"/>
      <c r="AD62" s="4"/>
    </row>
    <row r="63" ht="14.25" customHeight="1">
      <c r="A63" s="4" t="s">
        <v>84</v>
      </c>
      <c r="B63" s="4" t="s">
        <v>27</v>
      </c>
      <c r="C63" s="4">
        <v>10.0</v>
      </c>
      <c r="D63" s="4" t="s">
        <v>28</v>
      </c>
      <c r="E63" s="4" t="s">
        <v>27</v>
      </c>
      <c r="F63" s="4">
        <v>20.0</v>
      </c>
      <c r="G63" s="4" t="s">
        <v>65</v>
      </c>
      <c r="H63" s="4" t="s">
        <v>30</v>
      </c>
      <c r="I63" s="4" t="s">
        <v>31</v>
      </c>
      <c r="J63" s="7">
        <v>10.0</v>
      </c>
      <c r="K63" s="4">
        <v>45.0</v>
      </c>
      <c r="L63" s="4">
        <v>45.0</v>
      </c>
      <c r="M63" s="4">
        <v>0.0</v>
      </c>
      <c r="N63" s="4" t="s">
        <v>44</v>
      </c>
      <c r="O63" s="4">
        <f t="shared" si="1"/>
        <v>10</v>
      </c>
      <c r="P63" s="6">
        <v>2.387414</v>
      </c>
      <c r="Q63" s="6">
        <v>1.818429</v>
      </c>
      <c r="R63" s="6">
        <v>-0.56899</v>
      </c>
      <c r="S63" s="4">
        <v>55.0</v>
      </c>
      <c r="T63" s="4" t="s">
        <v>22</v>
      </c>
      <c r="U63" s="4" t="s">
        <v>62</v>
      </c>
      <c r="V63" s="4"/>
      <c r="W63" s="4"/>
      <c r="X63" s="4"/>
      <c r="Y63" s="4"/>
      <c r="Z63" s="4"/>
      <c r="AA63" s="4"/>
      <c r="AB63" s="4"/>
      <c r="AC63" s="4"/>
      <c r="AD63" s="4"/>
    </row>
    <row r="64" ht="14.25" customHeight="1">
      <c r="A64" s="4" t="s">
        <v>84</v>
      </c>
      <c r="B64" s="4" t="s">
        <v>27</v>
      </c>
      <c r="C64" s="4">
        <v>10.0</v>
      </c>
      <c r="D64" s="4" t="s">
        <v>28</v>
      </c>
      <c r="E64" s="4" t="s">
        <v>27</v>
      </c>
      <c r="F64" s="4">
        <v>20.0</v>
      </c>
      <c r="G64" s="4" t="s">
        <v>65</v>
      </c>
      <c r="H64" s="4" t="s">
        <v>30</v>
      </c>
      <c r="I64" s="4" t="s">
        <v>47</v>
      </c>
      <c r="J64" s="4">
        <f t="shared" ref="J64:J65" si="11">J63-M63</f>
        <v>10</v>
      </c>
      <c r="K64" s="4">
        <v>45.0</v>
      </c>
      <c r="L64" s="4">
        <v>45.0</v>
      </c>
      <c r="M64" s="4">
        <v>0.0</v>
      </c>
      <c r="N64" s="4" t="s">
        <v>51</v>
      </c>
      <c r="O64" s="4">
        <f t="shared" si="1"/>
        <v>10</v>
      </c>
      <c r="P64" s="6">
        <v>1.818429</v>
      </c>
      <c r="Q64" s="6">
        <v>1.052055</v>
      </c>
      <c r="R64" s="6">
        <v>-0.76637</v>
      </c>
      <c r="S64" s="4">
        <v>91.0</v>
      </c>
      <c r="T64" s="4" t="s">
        <v>22</v>
      </c>
      <c r="U64" s="4" t="s">
        <v>95</v>
      </c>
      <c r="V64" s="4"/>
      <c r="W64" s="4"/>
      <c r="X64" s="4"/>
      <c r="Y64" s="4"/>
      <c r="Z64" s="4"/>
      <c r="AA64" s="4"/>
      <c r="AB64" s="4"/>
      <c r="AC64" s="4"/>
      <c r="AD64" s="4"/>
    </row>
    <row r="65" ht="14.25" customHeight="1">
      <c r="A65" s="4" t="s">
        <v>84</v>
      </c>
      <c r="B65" s="4" t="s">
        <v>27</v>
      </c>
      <c r="C65" s="4">
        <v>10.0</v>
      </c>
      <c r="D65" s="4" t="s">
        <v>28</v>
      </c>
      <c r="E65" s="4" t="s">
        <v>27</v>
      </c>
      <c r="F65" s="4">
        <v>10.0</v>
      </c>
      <c r="G65" s="4" t="s">
        <v>28</v>
      </c>
      <c r="H65" s="4" t="s">
        <v>30</v>
      </c>
      <c r="I65" s="4" t="s">
        <v>55</v>
      </c>
      <c r="J65" s="4">
        <f t="shared" si="11"/>
        <v>10</v>
      </c>
      <c r="K65" s="4">
        <v>45.0</v>
      </c>
      <c r="L65" s="4">
        <v>49.0</v>
      </c>
      <c r="M65" s="4">
        <v>4.0</v>
      </c>
      <c r="N65" s="4" t="s">
        <v>56</v>
      </c>
      <c r="O65" s="4">
        <f t="shared" si="1"/>
        <v>6</v>
      </c>
      <c r="P65" s="6">
        <v>1.052055</v>
      </c>
      <c r="Q65" s="8"/>
      <c r="R65" s="6">
        <v>0.0</v>
      </c>
      <c r="S65" s="4">
        <v>2.0</v>
      </c>
      <c r="T65" s="4" t="s">
        <v>22</v>
      </c>
      <c r="U65" s="4" t="s">
        <v>66</v>
      </c>
      <c r="V65" s="4"/>
      <c r="W65" s="4"/>
      <c r="X65" s="4"/>
      <c r="Y65" s="4"/>
      <c r="Z65" s="4"/>
      <c r="AA65" s="4"/>
      <c r="AB65" s="4"/>
      <c r="AC65" s="4"/>
      <c r="AD65" s="4"/>
    </row>
    <row r="66" ht="14.25" customHeight="1">
      <c r="A66" s="4" t="s">
        <v>84</v>
      </c>
      <c r="B66" s="4" t="s">
        <v>27</v>
      </c>
      <c r="C66" s="4" t="s">
        <v>23</v>
      </c>
      <c r="D66" s="4" t="s">
        <v>23</v>
      </c>
      <c r="E66" s="4" t="s">
        <v>27</v>
      </c>
      <c r="F66" s="4">
        <v>8.0</v>
      </c>
      <c r="G66" s="4" t="s">
        <v>83</v>
      </c>
      <c r="H66" s="4" t="s">
        <v>58</v>
      </c>
      <c r="I66" s="7" t="s">
        <v>59</v>
      </c>
      <c r="J66" s="7">
        <v>6.0</v>
      </c>
      <c r="K66" s="4">
        <v>35.0</v>
      </c>
      <c r="L66" s="4">
        <v>-25.0</v>
      </c>
      <c r="M66" s="4">
        <v>40.0</v>
      </c>
      <c r="N66" s="4" t="s">
        <v>96</v>
      </c>
      <c r="O66" s="4" t="str">
        <f t="shared" si="1"/>
        <v/>
      </c>
      <c r="P66" s="5">
        <v>-0.957550942</v>
      </c>
      <c r="Q66" s="5">
        <v>-0.885</v>
      </c>
      <c r="R66" s="6">
        <f t="shared" ref="R66:R67" si="12">Q66-P66</f>
        <v>0.072550942</v>
      </c>
      <c r="S66" s="4" t="s">
        <v>23</v>
      </c>
      <c r="T66" s="4" t="s">
        <v>23</v>
      </c>
      <c r="U66" s="4" t="s">
        <v>23</v>
      </c>
      <c r="V66" s="4"/>
      <c r="W66" s="4"/>
      <c r="X66" s="4"/>
      <c r="Y66" s="4"/>
      <c r="Z66" s="4"/>
      <c r="AA66" s="4"/>
      <c r="AB66" s="4"/>
      <c r="AC66" s="4"/>
      <c r="AD66" s="4"/>
    </row>
    <row r="67" ht="14.25" customHeight="1">
      <c r="A67" s="4" t="s">
        <v>84</v>
      </c>
      <c r="B67" s="4" t="s">
        <v>22</v>
      </c>
      <c r="C67" s="4" t="s">
        <v>23</v>
      </c>
      <c r="D67" s="4" t="s">
        <v>23</v>
      </c>
      <c r="E67" s="4" t="s">
        <v>22</v>
      </c>
      <c r="F67" s="4">
        <v>52.0</v>
      </c>
      <c r="G67" s="4" t="s">
        <v>97</v>
      </c>
      <c r="H67" s="4" t="s">
        <v>96</v>
      </c>
      <c r="I67" s="4" t="s">
        <v>23</v>
      </c>
      <c r="J67" s="4"/>
      <c r="K67" s="4">
        <v>25.0</v>
      </c>
      <c r="L67" s="4">
        <v>25.0</v>
      </c>
      <c r="M67" s="4">
        <v>0.0</v>
      </c>
      <c r="N67" s="4" t="s">
        <v>96</v>
      </c>
      <c r="O67" s="4" t="str">
        <f t="shared" si="1"/>
        <v/>
      </c>
      <c r="P67" s="5">
        <v>0.885</v>
      </c>
      <c r="Q67" s="6">
        <v>-3.920651</v>
      </c>
      <c r="R67" s="6">
        <f t="shared" si="12"/>
        <v>-4.805651</v>
      </c>
      <c r="S67" s="4" t="s">
        <v>23</v>
      </c>
      <c r="T67" s="4" t="s">
        <v>23</v>
      </c>
      <c r="U67" s="4" t="s">
        <v>23</v>
      </c>
      <c r="V67" s="4"/>
      <c r="W67" s="4"/>
      <c r="X67" s="4"/>
      <c r="Y67" s="4"/>
      <c r="Z67" s="4"/>
      <c r="AA67" s="4"/>
      <c r="AB67" s="4"/>
      <c r="AC67" s="4"/>
      <c r="AD67" s="4"/>
    </row>
    <row r="68" ht="14.25" customHeight="1">
      <c r="A68" s="4" t="s">
        <v>84</v>
      </c>
      <c r="B68" s="4" t="s">
        <v>27</v>
      </c>
      <c r="C68" s="4" t="s">
        <v>23</v>
      </c>
      <c r="D68" s="4" t="s">
        <v>23</v>
      </c>
      <c r="E68" s="4" t="s">
        <v>27</v>
      </c>
      <c r="F68" s="4">
        <v>11.0</v>
      </c>
      <c r="G68" s="4" t="s">
        <v>86</v>
      </c>
      <c r="H68" s="4" t="s">
        <v>78</v>
      </c>
      <c r="I68" s="4" t="s">
        <v>23</v>
      </c>
      <c r="J68" s="4"/>
      <c r="K68" s="4">
        <v>-25.0</v>
      </c>
      <c r="L68" s="4">
        <v>-25.0</v>
      </c>
      <c r="M68" s="4">
        <v>0.0</v>
      </c>
      <c r="N68" s="4" t="s">
        <v>39</v>
      </c>
      <c r="O68" s="4">
        <f t="shared" si="1"/>
        <v>10</v>
      </c>
      <c r="P68" s="8"/>
      <c r="Q68" s="8"/>
      <c r="R68" s="6">
        <v>0.0</v>
      </c>
      <c r="S68" s="4" t="s">
        <v>23</v>
      </c>
      <c r="T68" s="4" t="s">
        <v>23</v>
      </c>
      <c r="U68" s="4" t="s">
        <v>23</v>
      </c>
      <c r="V68" s="4"/>
      <c r="W68" s="4"/>
      <c r="X68" s="4"/>
      <c r="Y68" s="4"/>
      <c r="Z68" s="4"/>
      <c r="AA68" s="4"/>
      <c r="AB68" s="4"/>
      <c r="AC68" s="4"/>
      <c r="AD68" s="4"/>
    </row>
    <row r="69" ht="14.25" customHeight="1">
      <c r="A69" s="4" t="s">
        <v>84</v>
      </c>
      <c r="B69" s="4" t="s">
        <v>27</v>
      </c>
      <c r="C69" s="4">
        <v>10.0</v>
      </c>
      <c r="D69" s="4" t="s">
        <v>28</v>
      </c>
      <c r="E69" s="4" t="s">
        <v>27</v>
      </c>
      <c r="F69" s="4">
        <v>3.0</v>
      </c>
      <c r="G69" s="4" t="s">
        <v>87</v>
      </c>
      <c r="H69" s="4" t="s">
        <v>82</v>
      </c>
      <c r="I69" s="4" t="s">
        <v>31</v>
      </c>
      <c r="J69" s="7">
        <v>10.0</v>
      </c>
      <c r="K69" s="4">
        <v>-25.0</v>
      </c>
      <c r="L69" s="4">
        <v>-25.0</v>
      </c>
      <c r="M69" s="4">
        <v>0.0</v>
      </c>
      <c r="N69" s="4" t="s">
        <v>44</v>
      </c>
      <c r="O69" s="4">
        <f t="shared" si="1"/>
        <v>10</v>
      </c>
      <c r="P69" s="6">
        <v>3.920651</v>
      </c>
      <c r="Q69" s="6">
        <v>3.406558</v>
      </c>
      <c r="R69" s="6">
        <v>-0.51409</v>
      </c>
      <c r="S69" s="4" t="s">
        <v>23</v>
      </c>
      <c r="T69" s="4" t="s">
        <v>23</v>
      </c>
      <c r="U69" s="4" t="s">
        <v>23</v>
      </c>
      <c r="V69" s="4"/>
      <c r="W69" s="4"/>
      <c r="X69" s="4"/>
      <c r="Y69" s="4"/>
      <c r="Z69" s="4"/>
      <c r="AA69" s="4"/>
      <c r="AB69" s="4"/>
      <c r="AC69" s="4"/>
      <c r="AD69" s="4"/>
    </row>
    <row r="70" ht="14.25" customHeight="1">
      <c r="A70" s="4" t="s">
        <v>84</v>
      </c>
      <c r="B70" s="4" t="s">
        <v>27</v>
      </c>
      <c r="C70" s="4">
        <v>10.0</v>
      </c>
      <c r="D70" s="4" t="s">
        <v>28</v>
      </c>
      <c r="E70" s="4" t="s">
        <v>27</v>
      </c>
      <c r="F70" s="4">
        <v>8.0</v>
      </c>
      <c r="G70" s="4" t="s">
        <v>83</v>
      </c>
      <c r="H70" s="4" t="s">
        <v>43</v>
      </c>
      <c r="I70" s="4" t="s">
        <v>47</v>
      </c>
      <c r="J70" s="4">
        <f t="shared" ref="J70:J72" si="13">J69-M69</f>
        <v>10</v>
      </c>
      <c r="K70" s="4">
        <v>-25.0</v>
      </c>
      <c r="L70" s="4">
        <v>-21.0</v>
      </c>
      <c r="M70" s="4">
        <v>4.0</v>
      </c>
      <c r="N70" s="4" t="s">
        <v>51</v>
      </c>
      <c r="O70" s="4">
        <f t="shared" si="1"/>
        <v>6</v>
      </c>
      <c r="P70" s="6">
        <v>3.406558</v>
      </c>
      <c r="Q70" s="6">
        <v>3.162146</v>
      </c>
      <c r="R70" s="6">
        <v>-0.24441</v>
      </c>
      <c r="S70" s="4">
        <v>10.0</v>
      </c>
      <c r="T70" s="4" t="s">
        <v>22</v>
      </c>
      <c r="U70" s="4" t="s">
        <v>80</v>
      </c>
      <c r="V70" s="4"/>
      <c r="W70" s="4"/>
      <c r="X70" s="4"/>
      <c r="Y70" s="4"/>
      <c r="Z70" s="4"/>
      <c r="AA70" s="4"/>
      <c r="AB70" s="4"/>
      <c r="AC70" s="4"/>
      <c r="AD70" s="4"/>
    </row>
    <row r="71" ht="14.25" customHeight="1">
      <c r="A71" s="4" t="s">
        <v>84</v>
      </c>
      <c r="B71" s="4" t="s">
        <v>27</v>
      </c>
      <c r="C71" s="4">
        <v>10.0</v>
      </c>
      <c r="D71" s="4" t="s">
        <v>28</v>
      </c>
      <c r="E71" s="4" t="s">
        <v>27</v>
      </c>
      <c r="F71" s="4">
        <v>10.0</v>
      </c>
      <c r="G71" s="4" t="s">
        <v>28</v>
      </c>
      <c r="H71" s="4" t="s">
        <v>30</v>
      </c>
      <c r="I71" s="4" t="s">
        <v>55</v>
      </c>
      <c r="J71" s="4">
        <f t="shared" si="13"/>
        <v>6</v>
      </c>
      <c r="K71" s="4">
        <v>-21.0</v>
      </c>
      <c r="L71" s="4">
        <v>-17.0</v>
      </c>
      <c r="M71" s="4">
        <v>4.0</v>
      </c>
      <c r="N71" s="4" t="s">
        <v>56</v>
      </c>
      <c r="O71" s="4">
        <f t="shared" si="1"/>
        <v>2</v>
      </c>
      <c r="P71" s="6">
        <v>3.162146</v>
      </c>
      <c r="Q71" s="6">
        <v>2.576926</v>
      </c>
      <c r="R71" s="6">
        <v>-0.58522</v>
      </c>
      <c r="S71" s="4">
        <v>2.0</v>
      </c>
      <c r="T71" s="4" t="s">
        <v>22</v>
      </c>
      <c r="U71" s="4" t="s">
        <v>66</v>
      </c>
      <c r="V71" s="4"/>
      <c r="W71" s="4"/>
      <c r="X71" s="4"/>
      <c r="Y71" s="4"/>
      <c r="Z71" s="4"/>
      <c r="AA71" s="4"/>
      <c r="AB71" s="4"/>
      <c r="AC71" s="4"/>
      <c r="AD71" s="4"/>
    </row>
    <row r="72" ht="14.25" customHeight="1">
      <c r="A72" s="4" t="s">
        <v>84</v>
      </c>
      <c r="B72" s="4" t="s">
        <v>27</v>
      </c>
      <c r="C72" s="4">
        <v>10.0</v>
      </c>
      <c r="D72" s="4" t="s">
        <v>28</v>
      </c>
      <c r="E72" s="4" t="s">
        <v>27</v>
      </c>
      <c r="F72" s="4">
        <v>10.0</v>
      </c>
      <c r="G72" s="4" t="s">
        <v>28</v>
      </c>
      <c r="H72" s="4" t="s">
        <v>30</v>
      </c>
      <c r="I72" s="4" t="s">
        <v>59</v>
      </c>
      <c r="J72" s="4">
        <f t="shared" si="13"/>
        <v>2</v>
      </c>
      <c r="K72" s="4">
        <v>-17.0</v>
      </c>
      <c r="L72" s="4">
        <v>-12.0</v>
      </c>
      <c r="M72" s="4">
        <v>5.0</v>
      </c>
      <c r="N72" s="4" t="s">
        <v>39</v>
      </c>
      <c r="O72" s="4">
        <f t="shared" si="1"/>
        <v>10</v>
      </c>
      <c r="P72" s="6">
        <v>2.576926</v>
      </c>
      <c r="Q72" s="6">
        <v>4.38361</v>
      </c>
      <c r="R72" s="6">
        <v>1.806684</v>
      </c>
      <c r="S72" s="4">
        <v>29.0</v>
      </c>
      <c r="T72" s="4" t="s">
        <v>22</v>
      </c>
      <c r="U72" s="4" t="s">
        <v>63</v>
      </c>
      <c r="V72" s="4"/>
      <c r="W72" s="4"/>
      <c r="X72" s="4"/>
      <c r="Y72" s="4"/>
      <c r="Z72" s="4"/>
      <c r="AA72" s="4"/>
      <c r="AB72" s="4"/>
      <c r="AC72" s="4"/>
      <c r="AD72" s="4"/>
    </row>
    <row r="73" ht="14.25" customHeight="1">
      <c r="A73" s="4" t="s">
        <v>84</v>
      </c>
      <c r="B73" s="4" t="s">
        <v>27</v>
      </c>
      <c r="C73" s="4" t="s">
        <v>23</v>
      </c>
      <c r="D73" s="4" t="s">
        <v>23</v>
      </c>
      <c r="E73" s="4" t="s">
        <v>22</v>
      </c>
      <c r="F73" s="4" t="s">
        <v>23</v>
      </c>
      <c r="G73" s="4" t="s">
        <v>23</v>
      </c>
      <c r="H73" s="4" t="s">
        <v>98</v>
      </c>
      <c r="I73" s="4" t="s">
        <v>31</v>
      </c>
      <c r="J73" s="7">
        <v>10.0</v>
      </c>
      <c r="K73" s="4">
        <v>-12.0</v>
      </c>
      <c r="L73" s="4">
        <v>-6.0</v>
      </c>
      <c r="M73" s="4">
        <v>6.0</v>
      </c>
      <c r="N73" s="4" t="s">
        <v>39</v>
      </c>
      <c r="O73" s="4" t="str">
        <f t="shared" si="1"/>
        <v/>
      </c>
      <c r="P73" s="6">
        <v>4.38361</v>
      </c>
      <c r="Q73" s="5">
        <v>5.334811449</v>
      </c>
      <c r="R73" s="6">
        <f t="shared" ref="R73:R74" si="14">Q73-P73</f>
        <v>0.951201449</v>
      </c>
      <c r="S73" s="4" t="s">
        <v>23</v>
      </c>
      <c r="T73" s="4" t="s">
        <v>23</v>
      </c>
      <c r="U73" s="4" t="s">
        <v>23</v>
      </c>
      <c r="V73" s="4"/>
      <c r="W73" s="4"/>
      <c r="X73" s="4"/>
      <c r="Y73" s="4"/>
      <c r="Z73" s="4"/>
      <c r="AA73" s="4"/>
      <c r="AB73" s="4"/>
      <c r="AC73" s="4"/>
      <c r="AD73" s="4"/>
    </row>
    <row r="74" ht="14.25" customHeight="1">
      <c r="A74" s="4" t="s">
        <v>84</v>
      </c>
      <c r="B74" s="4" t="s">
        <v>27</v>
      </c>
      <c r="C74" s="4" t="s">
        <v>23</v>
      </c>
      <c r="D74" s="4" t="s">
        <v>23</v>
      </c>
      <c r="E74" s="4" t="s">
        <v>27</v>
      </c>
      <c r="F74" s="4" t="s">
        <v>23</v>
      </c>
      <c r="G74" s="4" t="s">
        <v>23</v>
      </c>
      <c r="H74" s="4" t="s">
        <v>74</v>
      </c>
      <c r="I74" s="4" t="s">
        <v>23</v>
      </c>
      <c r="J74" s="4"/>
      <c r="K74" s="4">
        <v>-6.0</v>
      </c>
      <c r="L74" s="4">
        <v>-21.0</v>
      </c>
      <c r="M74" s="4">
        <v>-15.0</v>
      </c>
      <c r="N74" s="4" t="s">
        <v>39</v>
      </c>
      <c r="O74" s="4">
        <f t="shared" si="1"/>
        <v>10</v>
      </c>
      <c r="P74" s="5">
        <v>5.334811449</v>
      </c>
      <c r="Q74" s="6">
        <v>4.085037</v>
      </c>
      <c r="R74" s="6">
        <f t="shared" si="14"/>
        <v>-1.249774449</v>
      </c>
      <c r="S74" s="4" t="s">
        <v>23</v>
      </c>
      <c r="T74" s="4" t="s">
        <v>23</v>
      </c>
      <c r="U74" s="4" t="s">
        <v>23</v>
      </c>
      <c r="V74" s="4"/>
      <c r="W74" s="4"/>
      <c r="X74" s="4"/>
      <c r="Y74" s="4"/>
      <c r="Z74" s="4"/>
      <c r="AA74" s="4"/>
      <c r="AB74" s="4"/>
      <c r="AC74" s="4"/>
      <c r="AD74" s="4"/>
    </row>
    <row r="75" ht="14.25" customHeight="1">
      <c r="A75" s="4" t="s">
        <v>84</v>
      </c>
      <c r="B75" s="4" t="s">
        <v>27</v>
      </c>
      <c r="C75" s="4">
        <v>10.0</v>
      </c>
      <c r="D75" s="4" t="s">
        <v>28</v>
      </c>
      <c r="E75" s="4" t="s">
        <v>27</v>
      </c>
      <c r="F75" s="4">
        <v>31.0</v>
      </c>
      <c r="G75" s="4" t="s">
        <v>29</v>
      </c>
      <c r="H75" s="4" t="s">
        <v>43</v>
      </c>
      <c r="I75" s="4" t="s">
        <v>31</v>
      </c>
      <c r="J75" s="7">
        <v>10.0</v>
      </c>
      <c r="K75" s="4">
        <v>-21.0</v>
      </c>
      <c r="L75" s="4">
        <v>-5.0</v>
      </c>
      <c r="M75" s="4">
        <v>16.0</v>
      </c>
      <c r="N75" s="4" t="s">
        <v>39</v>
      </c>
      <c r="O75" s="4">
        <f t="shared" si="1"/>
        <v>5</v>
      </c>
      <c r="P75" s="6">
        <v>4.085037</v>
      </c>
      <c r="Q75" s="6">
        <v>5.436957</v>
      </c>
      <c r="R75" s="6">
        <v>1.35192</v>
      </c>
      <c r="S75" s="4" t="s">
        <v>23</v>
      </c>
      <c r="T75" s="4" t="s">
        <v>23</v>
      </c>
      <c r="U75" s="4" t="s">
        <v>23</v>
      </c>
      <c r="V75" s="4"/>
      <c r="W75" s="4"/>
      <c r="X75" s="4"/>
      <c r="Y75" s="4"/>
      <c r="Z75" s="4"/>
      <c r="AA75" s="4"/>
      <c r="AB75" s="4"/>
      <c r="AC75" s="4"/>
      <c r="AD75" s="4"/>
    </row>
    <row r="76" ht="14.25" customHeight="1">
      <c r="A76" s="4" t="s">
        <v>84</v>
      </c>
      <c r="B76" s="4" t="s">
        <v>27</v>
      </c>
      <c r="C76" s="4">
        <v>10.0</v>
      </c>
      <c r="D76" s="4" t="s">
        <v>28</v>
      </c>
      <c r="E76" s="4" t="s">
        <v>27</v>
      </c>
      <c r="F76" s="4">
        <v>21.0</v>
      </c>
      <c r="G76" s="4" t="s">
        <v>61</v>
      </c>
      <c r="H76" s="4" t="s">
        <v>30</v>
      </c>
      <c r="I76" s="4" t="s">
        <v>31</v>
      </c>
      <c r="J76" s="7">
        <v>5.0</v>
      </c>
      <c r="K76" s="4">
        <v>-5.0</v>
      </c>
      <c r="L76" s="4">
        <v>0.0</v>
      </c>
      <c r="M76" s="4">
        <v>5.0</v>
      </c>
      <c r="N76" s="4" t="s">
        <v>32</v>
      </c>
      <c r="O76" s="4" t="str">
        <f t="shared" si="1"/>
        <v/>
      </c>
      <c r="P76" s="6">
        <v>5.436957</v>
      </c>
      <c r="Q76" s="6">
        <v>7.0</v>
      </c>
      <c r="R76" s="6">
        <v>1.563043</v>
      </c>
      <c r="S76" s="4" t="s">
        <v>23</v>
      </c>
      <c r="T76" s="4" t="s">
        <v>23</v>
      </c>
      <c r="U76" s="4" t="s">
        <v>23</v>
      </c>
      <c r="V76" s="4"/>
      <c r="W76" s="4"/>
      <c r="X76" s="4"/>
      <c r="Y76" s="4"/>
      <c r="Z76" s="4"/>
      <c r="AA76" s="4"/>
      <c r="AB76" s="4"/>
      <c r="AC76" s="4"/>
      <c r="AD76" s="4"/>
    </row>
    <row r="77" ht="14.25" customHeight="1">
      <c r="A77" s="4" t="s">
        <v>84</v>
      </c>
      <c r="B77" s="4" t="s">
        <v>27</v>
      </c>
      <c r="C77" s="4" t="s">
        <v>23</v>
      </c>
      <c r="D77" s="4" t="s">
        <v>23</v>
      </c>
      <c r="E77" s="4" t="s">
        <v>27</v>
      </c>
      <c r="F77" s="4">
        <v>42.0</v>
      </c>
      <c r="G77" s="4" t="s">
        <v>33</v>
      </c>
      <c r="H77" s="4" t="s">
        <v>34</v>
      </c>
      <c r="I77" s="4" t="s">
        <v>23</v>
      </c>
      <c r="J77" s="4"/>
      <c r="K77" s="4">
        <v>-10.0</v>
      </c>
      <c r="L77" s="4">
        <v>0.0</v>
      </c>
      <c r="M77" s="4">
        <v>20.0</v>
      </c>
      <c r="N77" s="4" t="s">
        <v>94</v>
      </c>
      <c r="O77" s="4" t="str">
        <f t="shared" si="1"/>
        <v/>
      </c>
      <c r="P77" s="8"/>
      <c r="Q77" s="8"/>
      <c r="R77" s="6">
        <v>0.0</v>
      </c>
      <c r="S77" s="4" t="s">
        <v>23</v>
      </c>
      <c r="T77" s="4" t="s">
        <v>23</v>
      </c>
      <c r="U77" s="4" t="s">
        <v>23</v>
      </c>
      <c r="V77" s="4"/>
      <c r="W77" s="4"/>
      <c r="X77" s="4"/>
      <c r="Y77" s="4"/>
      <c r="Z77" s="4"/>
      <c r="AA77" s="4"/>
      <c r="AB77" s="4"/>
      <c r="AC77" s="4"/>
      <c r="AD77" s="4"/>
    </row>
    <row r="78" ht="14.25" customHeight="1">
      <c r="A78" s="4" t="s">
        <v>84</v>
      </c>
      <c r="B78" s="4" t="s">
        <v>27</v>
      </c>
      <c r="C78" s="4" t="s">
        <v>23</v>
      </c>
      <c r="D78" s="4" t="s">
        <v>23</v>
      </c>
      <c r="E78" s="4" t="s">
        <v>27</v>
      </c>
      <c r="F78" s="4">
        <v>42.0</v>
      </c>
      <c r="G78" s="4" t="s">
        <v>33</v>
      </c>
      <c r="H78" s="4" t="s">
        <v>25</v>
      </c>
      <c r="I78" s="4" t="s">
        <v>23</v>
      </c>
      <c r="J78" s="4"/>
      <c r="K78" s="4">
        <v>35.0</v>
      </c>
      <c r="L78" s="4">
        <v>-12.0</v>
      </c>
      <c r="M78" s="4">
        <v>53.0</v>
      </c>
      <c r="N78" s="4" t="s">
        <v>36</v>
      </c>
      <c r="O78" s="4" t="str">
        <f t="shared" si="1"/>
        <v/>
      </c>
      <c r="P78" s="5">
        <v>0.0</v>
      </c>
      <c r="Q78" s="6">
        <v>0.156353</v>
      </c>
      <c r="R78" s="6">
        <f>Q78-P80</f>
        <v>0.156353</v>
      </c>
      <c r="S78" s="4" t="s">
        <v>23</v>
      </c>
      <c r="T78" s="4" t="s">
        <v>23</v>
      </c>
      <c r="U78" s="4" t="s">
        <v>23</v>
      </c>
      <c r="V78" s="4"/>
      <c r="W78" s="4"/>
      <c r="X78" s="4"/>
      <c r="Y78" s="4"/>
      <c r="Z78" s="4"/>
      <c r="AA78" s="4"/>
      <c r="AB78" s="4"/>
      <c r="AC78" s="4"/>
      <c r="AD78" s="4"/>
    </row>
    <row r="79" ht="14.25" customHeight="1">
      <c r="A79" s="4" t="s">
        <v>84</v>
      </c>
      <c r="B79" s="4" t="s">
        <v>22</v>
      </c>
      <c r="C79" s="4" t="s">
        <v>23</v>
      </c>
      <c r="D79" s="4" t="s">
        <v>23</v>
      </c>
      <c r="E79" s="4" t="s">
        <v>22</v>
      </c>
      <c r="F79" s="4">
        <v>23.0</v>
      </c>
      <c r="G79" s="4" t="s">
        <v>49</v>
      </c>
      <c r="H79" s="4" t="s">
        <v>38</v>
      </c>
      <c r="I79" s="4" t="s">
        <v>23</v>
      </c>
      <c r="J79" s="4"/>
      <c r="K79" s="4">
        <v>12.0</v>
      </c>
      <c r="L79" s="4">
        <v>35.0</v>
      </c>
      <c r="M79" s="4">
        <v>23.0</v>
      </c>
      <c r="N79" s="4" t="s">
        <v>39</v>
      </c>
      <c r="O79" s="4" t="str">
        <f t="shared" si="1"/>
        <v/>
      </c>
      <c r="P79" s="8"/>
      <c r="Q79" s="8"/>
      <c r="R79" s="6">
        <v>0.0</v>
      </c>
      <c r="S79" s="4" t="s">
        <v>23</v>
      </c>
      <c r="T79" s="4" t="s">
        <v>23</v>
      </c>
      <c r="U79" s="4" t="s">
        <v>23</v>
      </c>
      <c r="V79" s="4"/>
      <c r="W79" s="4"/>
      <c r="X79" s="4"/>
      <c r="Y79" s="4"/>
      <c r="Z79" s="4"/>
      <c r="AA79" s="4"/>
      <c r="AB79" s="4"/>
      <c r="AC79" s="4"/>
      <c r="AD79" s="4"/>
    </row>
    <row r="80" ht="14.25" customHeight="1">
      <c r="A80" s="4" t="s">
        <v>84</v>
      </c>
      <c r="B80" s="4" t="s">
        <v>22</v>
      </c>
      <c r="C80" s="4" t="s">
        <v>23</v>
      </c>
      <c r="D80" s="4" t="s">
        <v>23</v>
      </c>
      <c r="E80" s="4" t="s">
        <v>22</v>
      </c>
      <c r="F80" s="4" t="s">
        <v>23</v>
      </c>
      <c r="G80" s="4" t="s">
        <v>23</v>
      </c>
      <c r="H80" s="4" t="s">
        <v>74</v>
      </c>
      <c r="I80" s="4" t="s">
        <v>23</v>
      </c>
      <c r="J80" s="4"/>
      <c r="K80" s="4">
        <v>24.0</v>
      </c>
      <c r="L80" s="4">
        <v>14.0</v>
      </c>
      <c r="M80" s="4">
        <v>-10.0</v>
      </c>
      <c r="N80" s="4" t="s">
        <v>39</v>
      </c>
      <c r="O80" s="4">
        <f t="shared" si="1"/>
        <v>10</v>
      </c>
      <c r="P80" s="5"/>
      <c r="S80" s="4" t="s">
        <v>23</v>
      </c>
      <c r="T80" s="4" t="s">
        <v>23</v>
      </c>
      <c r="U80" s="4" t="s">
        <v>23</v>
      </c>
      <c r="V80" s="4"/>
      <c r="W80" s="4"/>
      <c r="X80" s="4"/>
      <c r="Y80" s="4"/>
      <c r="Z80" s="4"/>
      <c r="AA80" s="4"/>
      <c r="AB80" s="4"/>
      <c r="AC80" s="4"/>
      <c r="AD80" s="4"/>
    </row>
    <row r="81" ht="14.25" customHeight="1">
      <c r="A81" s="4" t="s">
        <v>84</v>
      </c>
      <c r="B81" s="4" t="s">
        <v>22</v>
      </c>
      <c r="C81" s="4">
        <v>15.0</v>
      </c>
      <c r="D81" s="4" t="s">
        <v>41</v>
      </c>
      <c r="E81" s="4" t="s">
        <v>22</v>
      </c>
      <c r="F81" s="4">
        <v>23.0</v>
      </c>
      <c r="G81" s="4" t="s">
        <v>49</v>
      </c>
      <c r="H81" s="4" t="s">
        <v>30</v>
      </c>
      <c r="I81" s="4" t="s">
        <v>31</v>
      </c>
      <c r="J81" s="7">
        <v>10.0</v>
      </c>
      <c r="K81" s="7">
        <v>16.0</v>
      </c>
      <c r="L81" s="4">
        <v>21.0</v>
      </c>
      <c r="M81" s="7">
        <v>5.0</v>
      </c>
      <c r="N81" s="4" t="s">
        <v>44</v>
      </c>
      <c r="O81" s="4">
        <f t="shared" si="1"/>
        <v>5</v>
      </c>
      <c r="P81" s="6">
        <v>0.156353</v>
      </c>
      <c r="Q81" s="6">
        <v>0.237167</v>
      </c>
      <c r="R81" s="6">
        <v>0.080814</v>
      </c>
      <c r="S81" s="4" t="s">
        <v>23</v>
      </c>
      <c r="T81" s="4" t="s">
        <v>23</v>
      </c>
      <c r="U81" s="4" t="s">
        <v>23</v>
      </c>
      <c r="V81" s="4"/>
      <c r="W81" s="4"/>
      <c r="X81" s="4"/>
      <c r="Y81" s="4"/>
      <c r="Z81" s="4"/>
      <c r="AA81" s="4"/>
      <c r="AB81" s="4"/>
      <c r="AC81" s="4"/>
      <c r="AD81" s="4"/>
    </row>
    <row r="82" ht="14.25" customHeight="1">
      <c r="A82" s="4" t="s">
        <v>84</v>
      </c>
      <c r="B82" s="4" t="s">
        <v>22</v>
      </c>
      <c r="C82" s="4">
        <v>15.0</v>
      </c>
      <c r="D82" s="4" t="s">
        <v>41</v>
      </c>
      <c r="E82" s="4" t="s">
        <v>22</v>
      </c>
      <c r="F82" s="4">
        <v>15.0</v>
      </c>
      <c r="G82" s="4" t="s">
        <v>41</v>
      </c>
      <c r="H82" s="4" t="s">
        <v>30</v>
      </c>
      <c r="I82" s="4" t="s">
        <v>47</v>
      </c>
      <c r="J82" s="4">
        <f t="shared" ref="J82:J83" si="15">J81-M81</f>
        <v>5</v>
      </c>
      <c r="K82" s="4">
        <v>21.0</v>
      </c>
      <c r="L82" s="4">
        <v>23.0</v>
      </c>
      <c r="M82" s="4">
        <v>2.0</v>
      </c>
      <c r="N82" s="4" t="s">
        <v>51</v>
      </c>
      <c r="O82" s="4">
        <f t="shared" si="1"/>
        <v>3</v>
      </c>
      <c r="P82" s="6">
        <v>0.237167</v>
      </c>
      <c r="Q82" s="6">
        <v>-0.09611</v>
      </c>
      <c r="R82" s="6">
        <v>-0.33327</v>
      </c>
      <c r="S82" s="4">
        <v>2.0</v>
      </c>
      <c r="T82" s="4" t="s">
        <v>27</v>
      </c>
      <c r="U82" s="4" t="s">
        <v>50</v>
      </c>
      <c r="V82" s="4"/>
      <c r="W82" s="4"/>
      <c r="X82" s="4"/>
      <c r="Y82" s="4"/>
      <c r="Z82" s="4"/>
      <c r="AA82" s="4"/>
      <c r="AB82" s="4"/>
      <c r="AC82" s="4"/>
      <c r="AD82" s="4"/>
    </row>
    <row r="83" ht="14.25" customHeight="1">
      <c r="A83" s="4" t="s">
        <v>84</v>
      </c>
      <c r="B83" s="4" t="s">
        <v>22</v>
      </c>
      <c r="C83" s="4">
        <v>15.0</v>
      </c>
      <c r="D83" s="4" t="s">
        <v>41</v>
      </c>
      <c r="E83" s="4" t="s">
        <v>22</v>
      </c>
      <c r="F83" s="4">
        <v>83.0</v>
      </c>
      <c r="G83" s="4" t="s">
        <v>99</v>
      </c>
      <c r="H83" s="4" t="s">
        <v>43</v>
      </c>
      <c r="I83" s="4" t="s">
        <v>55</v>
      </c>
      <c r="J83" s="4">
        <f t="shared" si="15"/>
        <v>3</v>
      </c>
      <c r="K83" s="4">
        <v>23.0</v>
      </c>
      <c r="L83" s="4">
        <v>39.0</v>
      </c>
      <c r="M83" s="4">
        <v>16.0</v>
      </c>
      <c r="N83" s="4" t="s">
        <v>39</v>
      </c>
      <c r="O83" s="4">
        <f t="shared" si="1"/>
        <v>10</v>
      </c>
      <c r="P83" s="6">
        <v>-0.09611</v>
      </c>
      <c r="Q83" s="6">
        <v>1.990539</v>
      </c>
      <c r="R83" s="6">
        <v>2.086645</v>
      </c>
      <c r="S83" s="4">
        <v>19.0</v>
      </c>
      <c r="T83" s="4" t="s">
        <v>27</v>
      </c>
      <c r="U83" s="4" t="s">
        <v>100</v>
      </c>
      <c r="V83" s="4"/>
      <c r="W83" s="4"/>
      <c r="X83" s="4"/>
      <c r="Y83" s="4"/>
      <c r="Z83" s="4"/>
      <c r="AA83" s="4"/>
      <c r="AB83" s="4"/>
      <c r="AC83" s="4"/>
      <c r="AD83" s="4"/>
    </row>
    <row r="84" ht="14.25" customHeight="1">
      <c r="A84" s="4" t="s">
        <v>84</v>
      </c>
      <c r="B84" s="4" t="s">
        <v>22</v>
      </c>
      <c r="C84" s="4">
        <v>15.0</v>
      </c>
      <c r="D84" s="4" t="s">
        <v>41</v>
      </c>
      <c r="E84" s="4" t="s">
        <v>22</v>
      </c>
      <c r="F84" s="4">
        <v>4.0</v>
      </c>
      <c r="G84" s="4" t="s">
        <v>42</v>
      </c>
      <c r="H84" s="4" t="s">
        <v>82</v>
      </c>
      <c r="I84" s="4" t="s">
        <v>31</v>
      </c>
      <c r="J84" s="7">
        <v>10.0</v>
      </c>
      <c r="K84" s="4">
        <v>39.0</v>
      </c>
      <c r="L84" s="4">
        <v>39.0</v>
      </c>
      <c r="M84" s="4">
        <v>0.0</v>
      </c>
      <c r="N84" s="4" t="s">
        <v>44</v>
      </c>
      <c r="O84" s="4">
        <f t="shared" si="1"/>
        <v>10</v>
      </c>
      <c r="P84" s="6">
        <v>1.990539</v>
      </c>
      <c r="Q84" s="6">
        <v>1.399924</v>
      </c>
      <c r="R84" s="6">
        <v>-0.59062</v>
      </c>
      <c r="S84" s="4" t="s">
        <v>23</v>
      </c>
      <c r="T84" s="4" t="s">
        <v>23</v>
      </c>
      <c r="U84" s="4" t="s">
        <v>23</v>
      </c>
      <c r="V84" s="4"/>
      <c r="W84" s="4"/>
      <c r="X84" s="4"/>
      <c r="Y84" s="4"/>
      <c r="Z84" s="4"/>
      <c r="AA84" s="4"/>
      <c r="AB84" s="4"/>
      <c r="AC84" s="4"/>
      <c r="AD84" s="4"/>
    </row>
    <row r="85" ht="14.25" customHeight="1">
      <c r="A85" s="4" t="s">
        <v>84</v>
      </c>
      <c r="B85" s="4" t="s">
        <v>22</v>
      </c>
      <c r="C85" s="4">
        <v>15.0</v>
      </c>
      <c r="D85" s="4" t="s">
        <v>41</v>
      </c>
      <c r="E85" s="4" t="s">
        <v>22</v>
      </c>
      <c r="F85" s="4">
        <v>4.0</v>
      </c>
      <c r="G85" s="4" t="s">
        <v>42</v>
      </c>
      <c r="H85" s="4" t="s">
        <v>43</v>
      </c>
      <c r="I85" s="4" t="s">
        <v>47</v>
      </c>
      <c r="J85" s="4">
        <f>J84-M84</f>
        <v>10</v>
      </c>
      <c r="K85" s="4">
        <v>39.0</v>
      </c>
      <c r="L85" s="4">
        <v>-36.0</v>
      </c>
      <c r="M85" s="4">
        <v>25.0</v>
      </c>
      <c r="N85" s="4" t="s">
        <v>39</v>
      </c>
      <c r="O85" s="4">
        <f t="shared" si="1"/>
        <v>10</v>
      </c>
      <c r="P85" s="6">
        <v>1.399924</v>
      </c>
      <c r="Q85" s="6">
        <v>3.450473</v>
      </c>
      <c r="R85" s="6">
        <v>2.050549</v>
      </c>
      <c r="S85" s="4">
        <v>22.0</v>
      </c>
      <c r="T85" s="4" t="s">
        <v>27</v>
      </c>
      <c r="U85" s="4" t="s">
        <v>101</v>
      </c>
      <c r="V85" s="4"/>
      <c r="W85" s="4"/>
      <c r="X85" s="4"/>
      <c r="Y85" s="4"/>
      <c r="Z85" s="4"/>
      <c r="AA85" s="4"/>
      <c r="AB85" s="4"/>
      <c r="AC85" s="4"/>
      <c r="AD85" s="4"/>
    </row>
    <row r="86" ht="14.25" customHeight="1">
      <c r="A86" s="4" t="s">
        <v>84</v>
      </c>
      <c r="B86" s="4" t="s">
        <v>22</v>
      </c>
      <c r="C86" s="4">
        <v>15.0</v>
      </c>
      <c r="D86" s="4" t="s">
        <v>41</v>
      </c>
      <c r="E86" s="4" t="s">
        <v>22</v>
      </c>
      <c r="F86" s="4">
        <v>28.0</v>
      </c>
      <c r="G86" s="4" t="s">
        <v>24</v>
      </c>
      <c r="H86" s="4" t="s">
        <v>68</v>
      </c>
      <c r="I86" s="7" t="s">
        <v>31</v>
      </c>
      <c r="J86" s="7">
        <v>10.0</v>
      </c>
      <c r="K86" s="7">
        <v>-36.0</v>
      </c>
      <c r="L86" s="4">
        <v>0.0</v>
      </c>
      <c r="M86" s="4">
        <v>53.0</v>
      </c>
      <c r="N86" s="4" t="s">
        <v>69</v>
      </c>
      <c r="O86" s="4" t="str">
        <f t="shared" si="1"/>
        <v/>
      </c>
      <c r="P86" s="6">
        <v>3.450473</v>
      </c>
      <c r="Q86" s="5">
        <v>3.0</v>
      </c>
      <c r="R86" s="6">
        <f>Q86-P86</f>
        <v>-0.450473</v>
      </c>
      <c r="S86" s="4" t="s">
        <v>23</v>
      </c>
      <c r="T86" s="4" t="s">
        <v>23</v>
      </c>
      <c r="U86" s="4" t="s">
        <v>23</v>
      </c>
      <c r="V86" s="4"/>
      <c r="W86" s="4"/>
      <c r="X86" s="4"/>
      <c r="Y86" s="4"/>
      <c r="Z86" s="4"/>
      <c r="AA86" s="4"/>
      <c r="AB86" s="4"/>
      <c r="AC86" s="4"/>
      <c r="AD86" s="4"/>
    </row>
    <row r="87" ht="14.25" customHeight="1">
      <c r="A87" s="4" t="s">
        <v>102</v>
      </c>
      <c r="B87" s="4" t="s">
        <v>27</v>
      </c>
      <c r="C87" s="4" t="s">
        <v>23</v>
      </c>
      <c r="D87" s="4" t="s">
        <v>23</v>
      </c>
      <c r="E87" s="4" t="s">
        <v>27</v>
      </c>
      <c r="F87" s="4">
        <v>42.0</v>
      </c>
      <c r="G87" s="4" t="s">
        <v>33</v>
      </c>
      <c r="H87" s="4" t="s">
        <v>25</v>
      </c>
      <c r="I87" s="4" t="s">
        <v>23</v>
      </c>
      <c r="J87" s="4"/>
      <c r="K87" s="4">
        <v>35.0</v>
      </c>
      <c r="L87" s="4">
        <v>-6.0</v>
      </c>
      <c r="M87" s="4">
        <v>59.0</v>
      </c>
      <c r="N87" s="4" t="s">
        <v>36</v>
      </c>
      <c r="O87" s="4" t="str">
        <f t="shared" si="1"/>
        <v/>
      </c>
      <c r="P87" s="8"/>
      <c r="Q87" s="8"/>
      <c r="R87" s="6">
        <v>0.0</v>
      </c>
      <c r="S87" s="4" t="s">
        <v>23</v>
      </c>
      <c r="T87" s="4" t="s">
        <v>23</v>
      </c>
      <c r="U87" s="4" t="s">
        <v>23</v>
      </c>
      <c r="V87" s="4"/>
      <c r="W87" s="4"/>
      <c r="X87" s="4"/>
      <c r="Y87" s="4"/>
      <c r="Z87" s="4"/>
      <c r="AA87" s="4"/>
      <c r="AB87" s="4"/>
      <c r="AC87" s="4"/>
      <c r="AD87" s="4"/>
    </row>
    <row r="88" ht="14.25" customHeight="1">
      <c r="A88" s="4" t="s">
        <v>103</v>
      </c>
      <c r="B88" s="4" t="s">
        <v>22</v>
      </c>
      <c r="C88" s="4" t="s">
        <v>23</v>
      </c>
      <c r="D88" s="4" t="s">
        <v>23</v>
      </c>
      <c r="E88" s="4" t="s">
        <v>22</v>
      </c>
      <c r="F88" s="4">
        <v>23.0</v>
      </c>
      <c r="G88" s="4" t="s">
        <v>49</v>
      </c>
      <c r="H88" s="4" t="s">
        <v>38</v>
      </c>
      <c r="I88" s="4" t="s">
        <v>23</v>
      </c>
      <c r="J88" s="4"/>
      <c r="K88" s="4">
        <v>6.0</v>
      </c>
      <c r="L88" s="4">
        <v>19.0</v>
      </c>
      <c r="M88" s="4">
        <v>13.0</v>
      </c>
      <c r="N88" s="4" t="s">
        <v>39</v>
      </c>
      <c r="O88" s="4">
        <f t="shared" si="1"/>
        <v>10</v>
      </c>
      <c r="P88" s="8"/>
      <c r="Q88" s="8"/>
      <c r="R88" s="6">
        <v>0.0</v>
      </c>
      <c r="S88" s="4">
        <v>5.0</v>
      </c>
      <c r="T88" s="4" t="s">
        <v>27</v>
      </c>
      <c r="U88" s="4" t="s">
        <v>104</v>
      </c>
      <c r="V88" s="4"/>
      <c r="W88" s="4"/>
      <c r="X88" s="4"/>
      <c r="Y88" s="4"/>
      <c r="Z88" s="4"/>
      <c r="AA88" s="4"/>
      <c r="AB88" s="4"/>
      <c r="AC88" s="4"/>
      <c r="AD88" s="4"/>
    </row>
    <row r="89" ht="14.25" customHeight="1">
      <c r="A89" s="4" t="s">
        <v>102</v>
      </c>
      <c r="B89" s="4" t="s">
        <v>22</v>
      </c>
      <c r="C89" s="4">
        <v>15.0</v>
      </c>
      <c r="D89" s="4" t="s">
        <v>41</v>
      </c>
      <c r="E89" s="4" t="s">
        <v>22</v>
      </c>
      <c r="F89" s="4">
        <v>4.0</v>
      </c>
      <c r="G89" s="4" t="s">
        <v>42</v>
      </c>
      <c r="H89" s="4" t="s">
        <v>43</v>
      </c>
      <c r="I89" s="4" t="s">
        <v>31</v>
      </c>
      <c r="J89" s="7">
        <v>10.0</v>
      </c>
      <c r="K89" s="4">
        <v>19.0</v>
      </c>
      <c r="L89" s="4">
        <v>30.0</v>
      </c>
      <c r="M89" s="4">
        <v>11.0</v>
      </c>
      <c r="N89" s="4" t="s">
        <v>39</v>
      </c>
      <c r="O89" s="4">
        <f t="shared" si="1"/>
        <v>10</v>
      </c>
      <c r="P89" s="6">
        <v>0.402766</v>
      </c>
      <c r="Q89" s="6">
        <v>1.297875</v>
      </c>
      <c r="R89" s="6">
        <v>0.895109</v>
      </c>
      <c r="S89" s="4">
        <v>0.0</v>
      </c>
      <c r="T89" s="4" t="s">
        <v>27</v>
      </c>
      <c r="U89" s="4" t="s">
        <v>73</v>
      </c>
      <c r="V89" s="4"/>
      <c r="W89" s="4"/>
      <c r="X89" s="4"/>
      <c r="Y89" s="4"/>
      <c r="Z89" s="4"/>
      <c r="AA89" s="4"/>
      <c r="AB89" s="4"/>
      <c r="AC89" s="4"/>
      <c r="AD89" s="4"/>
    </row>
    <row r="90" ht="14.25" customHeight="1">
      <c r="A90" s="4" t="s">
        <v>102</v>
      </c>
      <c r="B90" s="4" t="s">
        <v>22</v>
      </c>
      <c r="C90" s="4">
        <v>15.0</v>
      </c>
      <c r="D90" s="4" t="s">
        <v>41</v>
      </c>
      <c r="E90" s="4" t="s">
        <v>22</v>
      </c>
      <c r="F90" s="4">
        <v>23.0</v>
      </c>
      <c r="G90" s="4" t="s">
        <v>49</v>
      </c>
      <c r="H90" s="4" t="s">
        <v>30</v>
      </c>
      <c r="I90" s="4" t="s">
        <v>31</v>
      </c>
      <c r="J90" s="7">
        <v>10.0</v>
      </c>
      <c r="K90" s="4">
        <v>30.0</v>
      </c>
      <c r="L90" s="4">
        <v>34.0</v>
      </c>
      <c r="M90" s="4">
        <v>4.0</v>
      </c>
      <c r="N90" s="4" t="s">
        <v>44</v>
      </c>
      <c r="O90" s="4">
        <f t="shared" si="1"/>
        <v>6</v>
      </c>
      <c r="P90" s="6">
        <v>1.297875</v>
      </c>
      <c r="Q90" s="6">
        <v>1.252392</v>
      </c>
      <c r="R90" s="6">
        <v>-0.04548</v>
      </c>
      <c r="S90" s="4">
        <v>2.0</v>
      </c>
      <c r="T90" s="4" t="s">
        <v>27</v>
      </c>
      <c r="U90" s="4" t="s">
        <v>50</v>
      </c>
      <c r="V90" s="4"/>
      <c r="W90" s="4"/>
      <c r="X90" s="4"/>
      <c r="Y90" s="4"/>
      <c r="Z90" s="4"/>
      <c r="AA90" s="4"/>
      <c r="AB90" s="4"/>
      <c r="AC90" s="4"/>
      <c r="AD90" s="4"/>
    </row>
    <row r="91" ht="14.25" customHeight="1">
      <c r="A91" s="4" t="s">
        <v>102</v>
      </c>
      <c r="B91" s="4" t="s">
        <v>22</v>
      </c>
      <c r="C91" s="4">
        <v>15.0</v>
      </c>
      <c r="D91" s="4" t="s">
        <v>41</v>
      </c>
      <c r="E91" s="4" t="s">
        <v>22</v>
      </c>
      <c r="F91" s="4">
        <v>81.0</v>
      </c>
      <c r="G91" s="4" t="s">
        <v>37</v>
      </c>
      <c r="H91" s="4" t="s">
        <v>82</v>
      </c>
      <c r="I91" s="4" t="s">
        <v>47</v>
      </c>
      <c r="J91" s="4">
        <f t="shared" ref="J91:J92" si="16">J90-M90</f>
        <v>6</v>
      </c>
      <c r="K91" s="4">
        <v>34.0</v>
      </c>
      <c r="L91" s="4">
        <v>34.0</v>
      </c>
      <c r="M91" s="4">
        <v>0.0</v>
      </c>
      <c r="N91" s="4" t="s">
        <v>51</v>
      </c>
      <c r="O91" s="4">
        <f t="shared" si="1"/>
        <v>6</v>
      </c>
      <c r="P91" s="6">
        <v>1.252392</v>
      </c>
      <c r="Q91" s="6">
        <v>0.437221</v>
      </c>
      <c r="R91" s="6">
        <v>-0.81517</v>
      </c>
      <c r="S91" s="4" t="s">
        <v>23</v>
      </c>
      <c r="T91" s="4" t="s">
        <v>23</v>
      </c>
      <c r="U91" s="4" t="s">
        <v>23</v>
      </c>
      <c r="V91" s="4"/>
      <c r="W91" s="4"/>
      <c r="X91" s="4"/>
      <c r="Y91" s="4"/>
      <c r="Z91" s="4"/>
      <c r="AA91" s="4"/>
      <c r="AB91" s="4"/>
      <c r="AC91" s="4"/>
      <c r="AD91" s="4"/>
    </row>
    <row r="92" ht="14.25" customHeight="1">
      <c r="A92" s="4" t="s">
        <v>102</v>
      </c>
      <c r="B92" s="4" t="s">
        <v>22</v>
      </c>
      <c r="C92" s="4">
        <v>15.0</v>
      </c>
      <c r="D92" s="4" t="s">
        <v>41</v>
      </c>
      <c r="E92" s="4" t="s">
        <v>22</v>
      </c>
      <c r="F92" s="4">
        <v>17.0</v>
      </c>
      <c r="G92" s="4" t="s">
        <v>93</v>
      </c>
      <c r="H92" s="4" t="s">
        <v>43</v>
      </c>
      <c r="I92" s="4" t="s">
        <v>55</v>
      </c>
      <c r="J92" s="4">
        <f t="shared" si="16"/>
        <v>6</v>
      </c>
      <c r="K92" s="4">
        <v>34.0</v>
      </c>
      <c r="L92" s="4">
        <v>0.0</v>
      </c>
      <c r="M92" s="4">
        <v>66.0</v>
      </c>
      <c r="N92" s="4" t="s">
        <v>32</v>
      </c>
      <c r="O92" s="4" t="str">
        <f t="shared" si="1"/>
        <v/>
      </c>
      <c r="P92" s="6">
        <v>0.437221</v>
      </c>
      <c r="Q92" s="6">
        <v>7.0</v>
      </c>
      <c r="R92" s="6">
        <v>6.562779</v>
      </c>
      <c r="S92" s="4" t="s">
        <v>23</v>
      </c>
      <c r="T92" s="4" t="s">
        <v>23</v>
      </c>
      <c r="U92" s="4" t="s">
        <v>23</v>
      </c>
      <c r="V92" s="4"/>
      <c r="W92" s="4"/>
      <c r="X92" s="4"/>
      <c r="Y92" s="4"/>
      <c r="Z92" s="4"/>
      <c r="AA92" s="4"/>
      <c r="AB92" s="4"/>
      <c r="AC92" s="4"/>
      <c r="AD92" s="4"/>
    </row>
    <row r="93" ht="14.25" customHeight="1">
      <c r="A93" s="4" t="s">
        <v>102</v>
      </c>
      <c r="B93" s="4" t="s">
        <v>22</v>
      </c>
      <c r="C93" s="4">
        <v>15.0</v>
      </c>
      <c r="D93" s="4" t="s">
        <v>41</v>
      </c>
      <c r="E93" s="4" t="s">
        <v>22</v>
      </c>
      <c r="F93" s="4">
        <v>28.0</v>
      </c>
      <c r="G93" s="4" t="s">
        <v>24</v>
      </c>
      <c r="H93" s="4" t="s">
        <v>34</v>
      </c>
      <c r="I93" s="4" t="s">
        <v>23</v>
      </c>
      <c r="J93" s="4"/>
      <c r="K93" s="4">
        <v>-10.0</v>
      </c>
      <c r="L93" s="4">
        <v>0.0</v>
      </c>
      <c r="M93" s="4">
        <v>20.0</v>
      </c>
      <c r="N93" s="4" t="s">
        <v>94</v>
      </c>
      <c r="O93" s="4" t="str">
        <f t="shared" si="1"/>
        <v/>
      </c>
      <c r="P93" s="8"/>
      <c r="Q93" s="8"/>
      <c r="R93" s="6">
        <v>0.0</v>
      </c>
      <c r="S93" s="4" t="s">
        <v>23</v>
      </c>
      <c r="T93" s="4" t="s">
        <v>23</v>
      </c>
      <c r="U93" s="4" t="s">
        <v>23</v>
      </c>
      <c r="V93" s="4"/>
      <c r="W93" s="4"/>
      <c r="X93" s="4"/>
      <c r="Y93" s="4"/>
      <c r="Z93" s="4"/>
      <c r="AA93" s="4"/>
      <c r="AB93" s="4"/>
      <c r="AC93" s="4"/>
      <c r="AD93" s="4"/>
    </row>
    <row r="94" ht="14.25" customHeight="1">
      <c r="A94" s="4" t="s">
        <v>102</v>
      </c>
      <c r="B94" s="4" t="s">
        <v>22</v>
      </c>
      <c r="C94" s="4" t="s">
        <v>23</v>
      </c>
      <c r="D94" s="4" t="s">
        <v>23</v>
      </c>
      <c r="E94" s="4" t="s">
        <v>22</v>
      </c>
      <c r="F94" s="4" t="s">
        <v>23</v>
      </c>
      <c r="G94" s="4" t="s">
        <v>23</v>
      </c>
      <c r="H94" s="4" t="s">
        <v>74</v>
      </c>
      <c r="I94" s="4" t="s">
        <v>23</v>
      </c>
      <c r="J94" s="4"/>
      <c r="K94" s="4">
        <v>35.0</v>
      </c>
      <c r="L94" s="4">
        <v>20.0</v>
      </c>
      <c r="M94" s="4">
        <v>-15.0</v>
      </c>
      <c r="N94" s="4" t="s">
        <v>105</v>
      </c>
      <c r="O94" s="4" t="str">
        <f t="shared" si="1"/>
        <v/>
      </c>
      <c r="P94" s="8"/>
      <c r="Q94" s="8"/>
      <c r="R94" s="6">
        <v>0.0</v>
      </c>
      <c r="S94" s="4" t="s">
        <v>23</v>
      </c>
      <c r="T94" s="4" t="s">
        <v>23</v>
      </c>
      <c r="U94" s="4" t="s">
        <v>23</v>
      </c>
      <c r="V94" s="4"/>
      <c r="W94" s="4"/>
      <c r="X94" s="4"/>
      <c r="Y94" s="4"/>
      <c r="Z94" s="4"/>
      <c r="AA94" s="4"/>
      <c r="AB94" s="4"/>
      <c r="AC94" s="4"/>
      <c r="AD94" s="4"/>
    </row>
    <row r="95" ht="14.25" customHeight="1">
      <c r="A95" s="4" t="s">
        <v>102</v>
      </c>
      <c r="B95" s="4" t="s">
        <v>22</v>
      </c>
      <c r="C95" s="4" t="s">
        <v>23</v>
      </c>
      <c r="D95" s="4" t="s">
        <v>23</v>
      </c>
      <c r="E95" s="4" t="s">
        <v>22</v>
      </c>
      <c r="F95" s="4">
        <v>28.0</v>
      </c>
      <c r="G95" s="4" t="s">
        <v>24</v>
      </c>
      <c r="H95" s="4" t="s">
        <v>25</v>
      </c>
      <c r="I95" s="4" t="s">
        <v>23</v>
      </c>
      <c r="J95" s="4"/>
      <c r="K95" s="4">
        <v>20.0</v>
      </c>
      <c r="L95" s="4">
        <v>-16.0</v>
      </c>
      <c r="M95" s="4">
        <v>64.0</v>
      </c>
      <c r="N95" s="4" t="s">
        <v>36</v>
      </c>
      <c r="O95" s="4" t="str">
        <f t="shared" si="1"/>
        <v/>
      </c>
      <c r="P95" s="8"/>
      <c r="Q95" s="8"/>
      <c r="R95" s="6">
        <v>0.0</v>
      </c>
      <c r="S95" s="4" t="s">
        <v>23</v>
      </c>
      <c r="T95" s="4" t="s">
        <v>23</v>
      </c>
      <c r="U95" s="4" t="s">
        <v>23</v>
      </c>
      <c r="V95" s="4"/>
      <c r="W95" s="4"/>
      <c r="X95" s="4"/>
      <c r="Y95" s="4"/>
      <c r="Z95" s="4"/>
      <c r="AA95" s="4"/>
      <c r="AB95" s="4"/>
      <c r="AC95" s="4"/>
      <c r="AD95" s="4"/>
    </row>
    <row r="96" ht="14.25" customHeight="1">
      <c r="A96" s="4" t="s">
        <v>102</v>
      </c>
      <c r="B96" s="4" t="s">
        <v>27</v>
      </c>
      <c r="C96" s="4" t="s">
        <v>23</v>
      </c>
      <c r="D96" s="4" t="s">
        <v>23</v>
      </c>
      <c r="E96" s="4" t="s">
        <v>27</v>
      </c>
      <c r="F96" s="4">
        <v>3.0</v>
      </c>
      <c r="G96" s="4" t="s">
        <v>87</v>
      </c>
      <c r="H96" s="4" t="s">
        <v>38</v>
      </c>
      <c r="I96" s="4" t="s">
        <v>23</v>
      </c>
      <c r="J96" s="4"/>
      <c r="K96" s="4">
        <v>16.0</v>
      </c>
      <c r="L96" s="4">
        <v>44.0</v>
      </c>
      <c r="M96" s="4">
        <v>28.0</v>
      </c>
      <c r="N96" s="4" t="s">
        <v>39</v>
      </c>
      <c r="O96" s="4">
        <f t="shared" si="1"/>
        <v>10</v>
      </c>
      <c r="P96" s="5">
        <v>0.0</v>
      </c>
      <c r="Q96" s="6">
        <v>2.325935</v>
      </c>
      <c r="R96" s="6">
        <f>Q96-P96</f>
        <v>2.325935</v>
      </c>
      <c r="S96" s="4">
        <v>85.0</v>
      </c>
      <c r="T96" s="4" t="s">
        <v>22</v>
      </c>
      <c r="U96" s="4" t="s">
        <v>106</v>
      </c>
      <c r="V96" s="4"/>
      <c r="W96" s="4"/>
      <c r="X96" s="4"/>
      <c r="Y96" s="4"/>
      <c r="Z96" s="4"/>
      <c r="AA96" s="4"/>
      <c r="AB96" s="4"/>
      <c r="AC96" s="4"/>
      <c r="AD96" s="4"/>
    </row>
    <row r="97" ht="14.25" customHeight="1">
      <c r="A97" s="4" t="s">
        <v>102</v>
      </c>
      <c r="B97" s="4" t="s">
        <v>27</v>
      </c>
      <c r="C97" s="4">
        <v>10.0</v>
      </c>
      <c r="D97" s="4" t="s">
        <v>28</v>
      </c>
      <c r="E97" s="4" t="s">
        <v>27</v>
      </c>
      <c r="F97" s="4" t="s">
        <v>23</v>
      </c>
      <c r="G97" s="4" t="s">
        <v>23</v>
      </c>
      <c r="H97" s="4" t="s">
        <v>82</v>
      </c>
      <c r="I97" s="4" t="s">
        <v>31</v>
      </c>
      <c r="J97" s="7">
        <v>10.0</v>
      </c>
      <c r="K97" s="4">
        <v>44.0</v>
      </c>
      <c r="L97" s="4">
        <v>44.0</v>
      </c>
      <c r="M97" s="4">
        <v>0.0</v>
      </c>
      <c r="N97" s="4" t="s">
        <v>44</v>
      </c>
      <c r="O97" s="4">
        <f t="shared" si="1"/>
        <v>10</v>
      </c>
      <c r="P97" s="6">
        <v>2.325935</v>
      </c>
      <c r="Q97" s="6">
        <v>1.75737</v>
      </c>
      <c r="R97" s="6">
        <v>-0.56857</v>
      </c>
      <c r="S97" s="4" t="s">
        <v>23</v>
      </c>
      <c r="T97" s="4" t="s">
        <v>23</v>
      </c>
      <c r="U97" s="4" t="s">
        <v>23</v>
      </c>
      <c r="V97" s="4"/>
      <c r="W97" s="4"/>
      <c r="X97" s="4"/>
      <c r="Y97" s="4"/>
      <c r="Z97" s="4"/>
      <c r="AA97" s="4"/>
      <c r="AB97" s="4"/>
      <c r="AC97" s="4"/>
      <c r="AD97" s="4"/>
    </row>
    <row r="98" ht="14.25" customHeight="1">
      <c r="A98" s="4" t="s">
        <v>102</v>
      </c>
      <c r="B98" s="4" t="s">
        <v>27</v>
      </c>
      <c r="C98" s="4">
        <v>10.0</v>
      </c>
      <c r="D98" s="4" t="s">
        <v>28</v>
      </c>
      <c r="E98" s="4" t="s">
        <v>27</v>
      </c>
      <c r="F98" s="4">
        <v>31.0</v>
      </c>
      <c r="G98" s="4" t="s">
        <v>29</v>
      </c>
      <c r="H98" s="4" t="s">
        <v>30</v>
      </c>
      <c r="I98" s="4" t="s">
        <v>47</v>
      </c>
      <c r="J98" s="4">
        <f t="shared" ref="J98:J99" si="17">J97-M97</f>
        <v>10</v>
      </c>
      <c r="K98" s="4">
        <v>44.0</v>
      </c>
      <c r="L98" s="4">
        <v>48.0</v>
      </c>
      <c r="M98" s="4">
        <v>4.0</v>
      </c>
      <c r="N98" s="4" t="s">
        <v>51</v>
      </c>
      <c r="O98" s="4">
        <f t="shared" si="1"/>
        <v>6</v>
      </c>
      <c r="P98" s="6">
        <v>1.75737</v>
      </c>
      <c r="Q98" s="6">
        <v>1.533445</v>
      </c>
      <c r="R98" s="6">
        <v>-0.22393</v>
      </c>
      <c r="S98" s="4">
        <v>55.0</v>
      </c>
      <c r="T98" s="4" t="s">
        <v>22</v>
      </c>
      <c r="U98" s="4" t="s">
        <v>62</v>
      </c>
      <c r="V98" s="4"/>
      <c r="W98" s="4"/>
      <c r="X98" s="4"/>
      <c r="Y98" s="4"/>
      <c r="Z98" s="4"/>
      <c r="AA98" s="4"/>
      <c r="AB98" s="4"/>
      <c r="AC98" s="4"/>
      <c r="AD98" s="4"/>
    </row>
    <row r="99" ht="14.25" customHeight="1">
      <c r="A99" s="4" t="s">
        <v>102</v>
      </c>
      <c r="B99" s="4" t="s">
        <v>27</v>
      </c>
      <c r="C99" s="4" t="s">
        <v>23</v>
      </c>
      <c r="D99" s="4" t="s">
        <v>23</v>
      </c>
      <c r="E99" s="4" t="s">
        <v>22</v>
      </c>
      <c r="F99" s="4" t="s">
        <v>23</v>
      </c>
      <c r="G99" s="4" t="s">
        <v>23</v>
      </c>
      <c r="H99" s="4" t="s">
        <v>98</v>
      </c>
      <c r="I99" s="4" t="s">
        <v>55</v>
      </c>
      <c r="J99" s="4">
        <f t="shared" si="17"/>
        <v>6</v>
      </c>
      <c r="K99" s="4">
        <v>48.0</v>
      </c>
      <c r="L99" s="4">
        <v>-48.0</v>
      </c>
      <c r="M99" s="4">
        <v>4.0</v>
      </c>
      <c r="N99" s="4" t="s">
        <v>39</v>
      </c>
      <c r="O99" s="4">
        <f t="shared" si="1"/>
        <v>10</v>
      </c>
      <c r="P99" s="6">
        <v>1.533445</v>
      </c>
      <c r="Q99" s="6">
        <v>2.81553</v>
      </c>
      <c r="R99" s="6">
        <v>1.282085</v>
      </c>
      <c r="S99" s="4" t="s">
        <v>23</v>
      </c>
      <c r="T99" s="4" t="s">
        <v>23</v>
      </c>
      <c r="U99" s="4" t="s">
        <v>23</v>
      </c>
      <c r="V99" s="4"/>
      <c r="W99" s="4"/>
      <c r="X99" s="4"/>
      <c r="Y99" s="4"/>
      <c r="Z99" s="4"/>
      <c r="AA99" s="4"/>
      <c r="AB99" s="4"/>
      <c r="AC99" s="4"/>
      <c r="AD99" s="4"/>
    </row>
    <row r="100" ht="14.25" customHeight="1">
      <c r="A100" s="4" t="s">
        <v>102</v>
      </c>
      <c r="B100" s="4" t="s">
        <v>27</v>
      </c>
      <c r="C100" s="4">
        <v>10.0</v>
      </c>
      <c r="D100" s="4" t="s">
        <v>28</v>
      </c>
      <c r="E100" s="4" t="s">
        <v>27</v>
      </c>
      <c r="F100" s="4">
        <v>21.0</v>
      </c>
      <c r="G100" s="4" t="s">
        <v>61</v>
      </c>
      <c r="H100" s="4" t="s">
        <v>30</v>
      </c>
      <c r="I100" s="4" t="s">
        <v>31</v>
      </c>
      <c r="J100" s="7">
        <v>10.0</v>
      </c>
      <c r="K100" s="4">
        <v>-48.0</v>
      </c>
      <c r="L100" s="4">
        <v>-45.0</v>
      </c>
      <c r="M100" s="4">
        <v>3.0</v>
      </c>
      <c r="N100" s="4" t="s">
        <v>44</v>
      </c>
      <c r="O100" s="4">
        <f t="shared" si="1"/>
        <v>7</v>
      </c>
      <c r="P100" s="6">
        <v>2.81553</v>
      </c>
      <c r="Q100" s="6">
        <v>2.680391</v>
      </c>
      <c r="R100" s="6">
        <v>-0.13514</v>
      </c>
      <c r="S100" s="4">
        <v>9.0</v>
      </c>
      <c r="T100" s="4" t="s">
        <v>22</v>
      </c>
      <c r="U100" s="4" t="s">
        <v>107</v>
      </c>
      <c r="V100" s="4"/>
      <c r="W100" s="4"/>
      <c r="X100" s="4"/>
      <c r="Y100" s="4"/>
      <c r="Z100" s="4"/>
      <c r="AA100" s="4"/>
      <c r="AB100" s="4"/>
      <c r="AC100" s="4"/>
      <c r="AD100" s="4"/>
    </row>
    <row r="101" ht="14.25" customHeight="1">
      <c r="A101" s="4" t="s">
        <v>102</v>
      </c>
      <c r="B101" s="4" t="s">
        <v>27</v>
      </c>
      <c r="C101" s="4">
        <v>10.0</v>
      </c>
      <c r="D101" s="4" t="s">
        <v>28</v>
      </c>
      <c r="E101" s="4" t="s">
        <v>27</v>
      </c>
      <c r="F101" s="4">
        <v>21.0</v>
      </c>
      <c r="G101" s="4" t="s">
        <v>61</v>
      </c>
      <c r="H101" s="4" t="s">
        <v>30</v>
      </c>
      <c r="I101" s="4" t="s">
        <v>47</v>
      </c>
      <c r="J101" s="4">
        <f t="shared" ref="J101:J103" si="18">J100-M100</f>
        <v>7</v>
      </c>
      <c r="K101" s="4">
        <v>-45.0</v>
      </c>
      <c r="L101" s="4">
        <v>-41.0</v>
      </c>
      <c r="M101" s="4">
        <v>4.0</v>
      </c>
      <c r="N101" s="4" t="s">
        <v>51</v>
      </c>
      <c r="O101" s="4">
        <f t="shared" si="1"/>
        <v>3</v>
      </c>
      <c r="P101" s="6">
        <v>2.680391</v>
      </c>
      <c r="Q101" s="6">
        <v>2.56439</v>
      </c>
      <c r="R101" s="6">
        <v>-0.116</v>
      </c>
      <c r="S101" s="4">
        <v>2.0</v>
      </c>
      <c r="T101" s="4" t="s">
        <v>22</v>
      </c>
      <c r="U101" s="4" t="s">
        <v>66</v>
      </c>
      <c r="V101" s="4"/>
      <c r="W101" s="4"/>
      <c r="X101" s="4"/>
      <c r="Y101" s="4"/>
      <c r="Z101" s="4"/>
      <c r="AA101" s="4"/>
      <c r="AB101" s="4"/>
      <c r="AC101" s="4"/>
      <c r="AD101" s="4"/>
    </row>
    <row r="102" ht="14.25" customHeight="1">
      <c r="A102" s="4" t="s">
        <v>102</v>
      </c>
      <c r="B102" s="4" t="s">
        <v>27</v>
      </c>
      <c r="C102" s="4">
        <v>10.0</v>
      </c>
      <c r="D102" s="4" t="s">
        <v>28</v>
      </c>
      <c r="E102" s="4" t="s">
        <v>27</v>
      </c>
      <c r="F102" s="4">
        <v>10.0</v>
      </c>
      <c r="G102" s="4" t="s">
        <v>28</v>
      </c>
      <c r="H102" s="4" t="s">
        <v>30</v>
      </c>
      <c r="I102" s="4" t="s">
        <v>55</v>
      </c>
      <c r="J102" s="4">
        <f t="shared" si="18"/>
        <v>3</v>
      </c>
      <c r="K102" s="4">
        <v>-41.0</v>
      </c>
      <c r="L102" s="4">
        <v>-40.0</v>
      </c>
      <c r="M102" s="4">
        <v>1.0</v>
      </c>
      <c r="N102" s="4" t="s">
        <v>56</v>
      </c>
      <c r="O102" s="4">
        <f t="shared" si="1"/>
        <v>2</v>
      </c>
      <c r="P102" s="6">
        <v>2.56439</v>
      </c>
      <c r="Q102" s="6">
        <v>1.122841</v>
      </c>
      <c r="R102" s="6">
        <v>-1.44155</v>
      </c>
      <c r="S102" s="4">
        <v>55.0</v>
      </c>
      <c r="T102" s="4" t="s">
        <v>22</v>
      </c>
      <c r="U102" s="4" t="s">
        <v>62</v>
      </c>
      <c r="V102" s="4"/>
      <c r="W102" s="4"/>
      <c r="X102" s="4"/>
      <c r="Y102" s="4"/>
      <c r="Z102" s="4"/>
      <c r="AA102" s="4"/>
      <c r="AB102" s="4"/>
      <c r="AC102" s="4"/>
      <c r="AD102" s="4"/>
    </row>
    <row r="103" ht="14.25" customHeight="1">
      <c r="A103" s="4" t="s">
        <v>102</v>
      </c>
      <c r="B103" s="4" t="s">
        <v>27</v>
      </c>
      <c r="C103" s="4">
        <v>10.0</v>
      </c>
      <c r="D103" s="4" t="s">
        <v>28</v>
      </c>
      <c r="E103" s="4" t="s">
        <v>27</v>
      </c>
      <c r="F103" s="4">
        <v>31.0</v>
      </c>
      <c r="G103" s="4" t="s">
        <v>29</v>
      </c>
      <c r="H103" s="4" t="s">
        <v>30</v>
      </c>
      <c r="I103" s="4" t="s">
        <v>59</v>
      </c>
      <c r="J103" s="4">
        <f t="shared" si="18"/>
        <v>2</v>
      </c>
      <c r="K103" s="4">
        <v>-40.0</v>
      </c>
      <c r="L103" s="4">
        <v>-40.0</v>
      </c>
      <c r="M103" s="4">
        <v>0.0</v>
      </c>
      <c r="N103" s="4" t="s">
        <v>108</v>
      </c>
      <c r="O103" s="4">
        <f t="shared" si="1"/>
        <v>10</v>
      </c>
      <c r="P103" s="6">
        <v>1.122841</v>
      </c>
      <c r="Q103" s="5">
        <v>-2.05</v>
      </c>
      <c r="R103" s="6">
        <f>Q103-P103</f>
        <v>-3.172841</v>
      </c>
      <c r="S103" s="4">
        <v>72.0</v>
      </c>
      <c r="T103" s="4" t="s">
        <v>22</v>
      </c>
      <c r="U103" s="4" t="s">
        <v>64</v>
      </c>
      <c r="V103" s="4"/>
      <c r="W103" s="4"/>
      <c r="X103" s="4"/>
      <c r="Y103" s="4"/>
      <c r="Z103" s="4"/>
      <c r="AA103" s="4"/>
      <c r="AB103" s="4"/>
      <c r="AC103" s="4"/>
      <c r="AD103" s="4"/>
    </row>
    <row r="104" ht="14.25" customHeight="1">
      <c r="A104" s="4" t="s">
        <v>102</v>
      </c>
      <c r="B104" s="4" t="s">
        <v>22</v>
      </c>
      <c r="C104" s="4">
        <v>15.0</v>
      </c>
      <c r="D104" s="4" t="s">
        <v>41</v>
      </c>
      <c r="E104" s="4" t="s">
        <v>22</v>
      </c>
      <c r="F104" s="4">
        <v>17.0</v>
      </c>
      <c r="G104" s="4" t="s">
        <v>93</v>
      </c>
      <c r="H104" s="4" t="s">
        <v>82</v>
      </c>
      <c r="I104" s="4" t="s">
        <v>31</v>
      </c>
      <c r="J104" s="7">
        <v>10.0</v>
      </c>
      <c r="K104" s="4">
        <v>40.0</v>
      </c>
      <c r="L104" s="4">
        <v>40.0</v>
      </c>
      <c r="M104" s="4">
        <v>0.0</v>
      </c>
      <c r="N104" s="4" t="s">
        <v>44</v>
      </c>
      <c r="O104" s="4">
        <f t="shared" si="1"/>
        <v>10</v>
      </c>
      <c r="P104" s="6">
        <v>2.051391</v>
      </c>
      <c r="Q104" s="6">
        <v>1.459293</v>
      </c>
      <c r="R104" s="6">
        <v>-0.5921</v>
      </c>
      <c r="S104" s="4" t="s">
        <v>23</v>
      </c>
      <c r="T104" s="4" t="s">
        <v>23</v>
      </c>
      <c r="U104" s="4" t="s">
        <v>23</v>
      </c>
      <c r="V104" s="4"/>
      <c r="W104" s="4"/>
      <c r="X104" s="4"/>
      <c r="Y104" s="4"/>
      <c r="Z104" s="4"/>
      <c r="AA104" s="4"/>
      <c r="AB104" s="4"/>
      <c r="AC104" s="4"/>
      <c r="AD104" s="4"/>
    </row>
    <row r="105" ht="14.25" customHeight="1">
      <c r="A105" s="4" t="s">
        <v>102</v>
      </c>
      <c r="B105" s="4" t="s">
        <v>22</v>
      </c>
      <c r="C105" s="4">
        <v>15.0</v>
      </c>
      <c r="D105" s="4" t="s">
        <v>41</v>
      </c>
      <c r="E105" s="4" t="s">
        <v>22</v>
      </c>
      <c r="F105" s="4">
        <v>23.0</v>
      </c>
      <c r="G105" s="4" t="s">
        <v>49</v>
      </c>
      <c r="H105" s="4" t="s">
        <v>30</v>
      </c>
      <c r="I105" s="4" t="s">
        <v>47</v>
      </c>
      <c r="J105" s="4">
        <f t="shared" ref="J105:J107" si="19">J104-M104</f>
        <v>10</v>
      </c>
      <c r="K105" s="4">
        <v>40.0</v>
      </c>
      <c r="L105" s="4">
        <v>44.0</v>
      </c>
      <c r="M105" s="4">
        <v>4.0</v>
      </c>
      <c r="N105" s="4" t="s">
        <v>51</v>
      </c>
      <c r="O105" s="4">
        <f t="shared" si="1"/>
        <v>6</v>
      </c>
      <c r="P105" s="6">
        <v>1.459293</v>
      </c>
      <c r="Q105" s="6">
        <v>1.236568</v>
      </c>
      <c r="R105" s="6">
        <v>-0.22273</v>
      </c>
      <c r="S105" s="4">
        <v>2.0</v>
      </c>
      <c r="T105" s="4" t="s">
        <v>27</v>
      </c>
      <c r="U105" s="4" t="s">
        <v>50</v>
      </c>
      <c r="V105" s="4"/>
      <c r="W105" s="4"/>
      <c r="X105" s="4"/>
      <c r="Y105" s="4"/>
      <c r="Z105" s="4"/>
      <c r="AA105" s="4"/>
      <c r="AB105" s="4"/>
      <c r="AC105" s="4"/>
      <c r="AD105" s="4"/>
    </row>
    <row r="106" ht="14.25" customHeight="1">
      <c r="A106" s="4" t="s">
        <v>102</v>
      </c>
      <c r="B106" s="4" t="s">
        <v>22</v>
      </c>
      <c r="C106" s="4">
        <v>15.0</v>
      </c>
      <c r="D106" s="4" t="s">
        <v>41</v>
      </c>
      <c r="E106" s="4" t="s">
        <v>22</v>
      </c>
      <c r="F106" s="4">
        <v>82.0</v>
      </c>
      <c r="G106" s="4" t="s">
        <v>72</v>
      </c>
      <c r="H106" s="4" t="s">
        <v>82</v>
      </c>
      <c r="I106" s="4" t="s">
        <v>55</v>
      </c>
      <c r="J106" s="4">
        <f t="shared" si="19"/>
        <v>6</v>
      </c>
      <c r="K106" s="4">
        <v>44.0</v>
      </c>
      <c r="L106" s="4">
        <v>44.0</v>
      </c>
      <c r="M106" s="4">
        <v>0.0</v>
      </c>
      <c r="N106" s="4" t="s">
        <v>56</v>
      </c>
      <c r="O106" s="4">
        <f t="shared" si="1"/>
        <v>6</v>
      </c>
      <c r="P106" s="6">
        <v>1.236568</v>
      </c>
      <c r="Q106" s="6">
        <v>-0.22943</v>
      </c>
      <c r="R106" s="6">
        <v>-1.466</v>
      </c>
      <c r="S106" s="4" t="s">
        <v>23</v>
      </c>
      <c r="T106" s="4" t="s">
        <v>23</v>
      </c>
      <c r="U106" s="4" t="s">
        <v>23</v>
      </c>
      <c r="V106" s="4"/>
      <c r="W106" s="4"/>
      <c r="X106" s="4"/>
      <c r="Y106" s="4"/>
      <c r="Z106" s="4"/>
      <c r="AA106" s="4"/>
      <c r="AB106" s="4"/>
      <c r="AC106" s="4"/>
      <c r="AD106" s="4"/>
    </row>
    <row r="107" ht="14.25" customHeight="1">
      <c r="A107" s="4" t="s">
        <v>102</v>
      </c>
      <c r="B107" s="4" t="s">
        <v>22</v>
      </c>
      <c r="C107" s="4" t="s">
        <v>23</v>
      </c>
      <c r="D107" s="4" t="s">
        <v>23</v>
      </c>
      <c r="E107" s="4" t="s">
        <v>22</v>
      </c>
      <c r="F107" s="4">
        <v>87.0</v>
      </c>
      <c r="G107" s="4" t="s">
        <v>57</v>
      </c>
      <c r="H107" s="4" t="s">
        <v>58</v>
      </c>
      <c r="I107" s="4" t="s">
        <v>59</v>
      </c>
      <c r="J107" s="4">
        <f t="shared" si="19"/>
        <v>6</v>
      </c>
      <c r="K107" s="4">
        <v>34.0</v>
      </c>
      <c r="L107" s="4">
        <v>-14.0</v>
      </c>
      <c r="M107" s="4">
        <v>52.0</v>
      </c>
      <c r="N107" s="4" t="s">
        <v>36</v>
      </c>
      <c r="O107" s="4" t="str">
        <f t="shared" si="1"/>
        <v/>
      </c>
      <c r="P107" s="6">
        <v>-0.22943</v>
      </c>
      <c r="Q107" s="6">
        <v>-2.387414</v>
      </c>
      <c r="R107" s="6">
        <f>Q107-P107</f>
        <v>-2.157984</v>
      </c>
      <c r="S107" s="4" t="s">
        <v>23</v>
      </c>
      <c r="T107" s="4" t="s">
        <v>23</v>
      </c>
      <c r="U107" s="4" t="s">
        <v>23</v>
      </c>
      <c r="V107" s="4"/>
      <c r="W107" s="4"/>
      <c r="X107" s="4"/>
      <c r="Y107" s="4"/>
      <c r="Z107" s="4"/>
      <c r="AA107" s="4"/>
      <c r="AB107" s="4"/>
      <c r="AC107" s="4"/>
      <c r="AD107" s="4"/>
    </row>
    <row r="108" ht="14.25" customHeight="1">
      <c r="A108" s="4" t="s">
        <v>109</v>
      </c>
      <c r="B108" s="4" t="s">
        <v>27</v>
      </c>
      <c r="C108" s="4" t="s">
        <v>23</v>
      </c>
      <c r="D108" s="4" t="s">
        <v>23</v>
      </c>
      <c r="E108" s="4" t="s">
        <v>27</v>
      </c>
      <c r="F108" s="4">
        <v>3.0</v>
      </c>
      <c r="G108" s="4" t="s">
        <v>87</v>
      </c>
      <c r="H108" s="4" t="s">
        <v>88</v>
      </c>
      <c r="I108" s="4" t="s">
        <v>23</v>
      </c>
      <c r="J108" s="4"/>
      <c r="K108" s="4">
        <v>14.0</v>
      </c>
      <c r="L108" s="4">
        <v>45.0</v>
      </c>
      <c r="M108" s="4">
        <v>31.0</v>
      </c>
      <c r="N108" s="4" t="s">
        <v>39</v>
      </c>
      <c r="O108" s="4">
        <f t="shared" si="1"/>
        <v>10</v>
      </c>
      <c r="P108" s="8"/>
      <c r="Q108" s="8"/>
      <c r="R108" s="6">
        <v>0.0</v>
      </c>
      <c r="S108" s="4">
        <v>26.0</v>
      </c>
      <c r="T108" s="4" t="s">
        <v>22</v>
      </c>
      <c r="U108" s="4" t="s">
        <v>23</v>
      </c>
      <c r="V108" s="4"/>
      <c r="W108" s="4"/>
      <c r="X108" s="4"/>
      <c r="Y108" s="4"/>
      <c r="Z108" s="4"/>
      <c r="AA108" s="4"/>
      <c r="AB108" s="4"/>
      <c r="AC108" s="4"/>
      <c r="AD108" s="4"/>
    </row>
    <row r="109" ht="14.25" customHeight="1">
      <c r="A109" s="4" t="s">
        <v>102</v>
      </c>
      <c r="B109" s="4" t="s">
        <v>27</v>
      </c>
      <c r="C109" s="4" t="s">
        <v>23</v>
      </c>
      <c r="D109" s="4" t="s">
        <v>23</v>
      </c>
      <c r="E109" s="4" t="s">
        <v>22</v>
      </c>
      <c r="F109" s="4" t="s">
        <v>23</v>
      </c>
      <c r="G109" s="4" t="s">
        <v>23</v>
      </c>
      <c r="H109" s="4" t="s">
        <v>98</v>
      </c>
      <c r="I109" s="4" t="s">
        <v>31</v>
      </c>
      <c r="J109" s="7">
        <v>10.0</v>
      </c>
      <c r="K109" s="4">
        <v>45.0</v>
      </c>
      <c r="L109" s="4">
        <v>-40.0</v>
      </c>
      <c r="M109" s="4">
        <v>15.0</v>
      </c>
      <c r="N109" s="4" t="s">
        <v>39</v>
      </c>
      <c r="O109" s="4">
        <f t="shared" si="1"/>
        <v>10</v>
      </c>
      <c r="P109" s="6">
        <v>2.387414</v>
      </c>
      <c r="Q109" s="6">
        <v>3.266093</v>
      </c>
      <c r="R109" s="6">
        <v>0.878679</v>
      </c>
      <c r="S109" s="4" t="s">
        <v>23</v>
      </c>
      <c r="T109" s="4" t="s">
        <v>23</v>
      </c>
      <c r="U109" s="4" t="s">
        <v>23</v>
      </c>
      <c r="V109" s="4"/>
      <c r="W109" s="4"/>
      <c r="X109" s="4"/>
      <c r="Y109" s="4"/>
      <c r="Z109" s="4"/>
      <c r="AA109" s="4"/>
      <c r="AB109" s="4"/>
      <c r="AC109" s="4"/>
      <c r="AD109" s="4"/>
    </row>
    <row r="110" ht="14.25" customHeight="1">
      <c r="A110" s="4" t="s">
        <v>102</v>
      </c>
      <c r="B110" s="4" t="s">
        <v>27</v>
      </c>
      <c r="C110" s="4" t="s">
        <v>23</v>
      </c>
      <c r="D110" s="4" t="s">
        <v>23</v>
      </c>
      <c r="E110" s="4" t="s">
        <v>27</v>
      </c>
      <c r="F110" s="4" t="s">
        <v>23</v>
      </c>
      <c r="G110" s="4" t="s">
        <v>23</v>
      </c>
      <c r="H110" s="4" t="s">
        <v>74</v>
      </c>
      <c r="I110" s="4" t="s">
        <v>31</v>
      </c>
      <c r="J110" s="7">
        <v>10.0</v>
      </c>
      <c r="K110" s="4">
        <v>-40.0</v>
      </c>
      <c r="L110" s="4">
        <v>50.0</v>
      </c>
      <c r="M110" s="4">
        <v>-10.0</v>
      </c>
      <c r="N110" s="4" t="s">
        <v>39</v>
      </c>
      <c r="O110" s="4">
        <f t="shared" si="1"/>
        <v>20</v>
      </c>
      <c r="P110" s="6">
        <v>3.266093</v>
      </c>
      <c r="Q110" s="6">
        <v>2.505376</v>
      </c>
      <c r="R110" s="6">
        <v>-0.76072</v>
      </c>
      <c r="S110" s="4" t="s">
        <v>23</v>
      </c>
      <c r="T110" s="4" t="s">
        <v>23</v>
      </c>
      <c r="U110" s="4" t="s">
        <v>23</v>
      </c>
      <c r="V110" s="4"/>
      <c r="W110" s="4"/>
      <c r="X110" s="4"/>
      <c r="Y110" s="4"/>
      <c r="Z110" s="4"/>
      <c r="AA110" s="4"/>
      <c r="AB110" s="4"/>
      <c r="AC110" s="4"/>
      <c r="AD110" s="4"/>
    </row>
    <row r="111" ht="14.25" customHeight="1">
      <c r="A111" s="4" t="s">
        <v>102</v>
      </c>
      <c r="B111" s="4" t="s">
        <v>27</v>
      </c>
      <c r="C111" s="4">
        <v>10.0</v>
      </c>
      <c r="D111" s="4" t="s">
        <v>28</v>
      </c>
      <c r="E111" s="4" t="s">
        <v>27</v>
      </c>
      <c r="F111" s="4">
        <v>10.0</v>
      </c>
      <c r="G111" s="4" t="s">
        <v>28</v>
      </c>
      <c r="H111" s="4" t="s">
        <v>30</v>
      </c>
      <c r="I111" s="4" t="s">
        <v>31</v>
      </c>
      <c r="J111" s="7">
        <v>20.0</v>
      </c>
      <c r="K111" s="4">
        <v>50.0</v>
      </c>
      <c r="L111" s="4">
        <v>-36.0</v>
      </c>
      <c r="M111" s="4">
        <v>14.0</v>
      </c>
      <c r="N111" s="4" t="s">
        <v>44</v>
      </c>
      <c r="O111" s="4">
        <f t="shared" si="1"/>
        <v>6</v>
      </c>
      <c r="P111" s="6">
        <v>2.505376</v>
      </c>
      <c r="Q111" s="6">
        <v>3.204855</v>
      </c>
      <c r="R111" s="6">
        <v>0.69948</v>
      </c>
      <c r="S111" s="4" t="s">
        <v>23</v>
      </c>
      <c r="T111" s="4" t="s">
        <v>23</v>
      </c>
      <c r="U111" s="4" t="s">
        <v>23</v>
      </c>
      <c r="V111" s="4"/>
      <c r="W111" s="4"/>
      <c r="X111" s="4"/>
      <c r="Y111" s="4"/>
      <c r="Z111" s="4"/>
      <c r="AA111" s="4"/>
      <c r="AB111" s="4"/>
      <c r="AC111" s="4"/>
      <c r="AD111" s="4"/>
    </row>
    <row r="112" ht="14.25" customHeight="1">
      <c r="A112" s="4" t="s">
        <v>102</v>
      </c>
      <c r="B112" s="4" t="s">
        <v>27</v>
      </c>
      <c r="C112" s="4">
        <v>10.0</v>
      </c>
      <c r="D112" s="4" t="s">
        <v>28</v>
      </c>
      <c r="E112" s="4" t="s">
        <v>27</v>
      </c>
      <c r="F112" s="4">
        <v>3.0</v>
      </c>
      <c r="G112" s="4" t="s">
        <v>87</v>
      </c>
      <c r="H112" s="4" t="s">
        <v>82</v>
      </c>
      <c r="I112" s="4" t="s">
        <v>47</v>
      </c>
      <c r="J112" s="4">
        <f t="shared" ref="J112:J113" si="20">J111-M111</f>
        <v>6</v>
      </c>
      <c r="K112" s="4">
        <v>-36.0</v>
      </c>
      <c r="L112" s="4">
        <v>-36.0</v>
      </c>
      <c r="M112" s="4">
        <v>0.0</v>
      </c>
      <c r="N112" s="4" t="s">
        <v>51</v>
      </c>
      <c r="O112" s="4">
        <f t="shared" si="1"/>
        <v>6</v>
      </c>
      <c r="P112" s="6">
        <v>3.204855</v>
      </c>
      <c r="Q112" s="6">
        <v>2.552942</v>
      </c>
      <c r="R112" s="6">
        <v>-0.65191</v>
      </c>
      <c r="S112" s="4" t="s">
        <v>23</v>
      </c>
      <c r="T112" s="4" t="s">
        <v>23</v>
      </c>
      <c r="U112" s="4" t="s">
        <v>23</v>
      </c>
      <c r="V112" s="4"/>
      <c r="W112" s="4"/>
      <c r="X112" s="4"/>
      <c r="Y112" s="4"/>
      <c r="Z112" s="4"/>
      <c r="AA112" s="4"/>
      <c r="AB112" s="4"/>
      <c r="AC112" s="4"/>
      <c r="AD112" s="4"/>
    </row>
    <row r="113" ht="14.25" customHeight="1">
      <c r="A113" s="4" t="s">
        <v>102</v>
      </c>
      <c r="B113" s="4" t="s">
        <v>27</v>
      </c>
      <c r="C113" s="4">
        <v>10.0</v>
      </c>
      <c r="D113" s="4" t="s">
        <v>28</v>
      </c>
      <c r="E113" s="4" t="s">
        <v>27</v>
      </c>
      <c r="F113" s="4">
        <v>10.0</v>
      </c>
      <c r="G113" s="4" t="s">
        <v>28</v>
      </c>
      <c r="H113" s="4" t="s">
        <v>30</v>
      </c>
      <c r="I113" s="4" t="s">
        <v>55</v>
      </c>
      <c r="J113" s="4">
        <f t="shared" si="20"/>
        <v>6</v>
      </c>
      <c r="K113" s="4">
        <v>-36.0</v>
      </c>
      <c r="L113" s="4">
        <v>-28.0</v>
      </c>
      <c r="M113" s="4">
        <v>8.0</v>
      </c>
      <c r="N113" s="4" t="s">
        <v>39</v>
      </c>
      <c r="O113" s="4">
        <f t="shared" si="1"/>
        <v>10</v>
      </c>
      <c r="P113" s="6">
        <v>2.552942</v>
      </c>
      <c r="Q113" s="6">
        <v>3.792443</v>
      </c>
      <c r="R113" s="6">
        <v>1.239502</v>
      </c>
      <c r="S113" s="4">
        <v>10.0</v>
      </c>
      <c r="T113" s="4" t="s">
        <v>22</v>
      </c>
      <c r="U113" s="4" t="s">
        <v>80</v>
      </c>
      <c r="V113" s="4"/>
      <c r="W113" s="4"/>
      <c r="X113" s="4"/>
      <c r="Y113" s="4"/>
      <c r="Z113" s="4"/>
      <c r="AA113" s="4"/>
      <c r="AB113" s="4"/>
      <c r="AC113" s="4"/>
      <c r="AD113" s="4"/>
    </row>
    <row r="114" ht="14.25" customHeight="1">
      <c r="A114" s="4" t="s">
        <v>102</v>
      </c>
      <c r="B114" s="4" t="s">
        <v>27</v>
      </c>
      <c r="C114" s="4">
        <v>10.0</v>
      </c>
      <c r="D114" s="4" t="s">
        <v>28</v>
      </c>
      <c r="E114" s="4" t="s">
        <v>27</v>
      </c>
      <c r="F114" s="4">
        <v>31.0</v>
      </c>
      <c r="G114" s="4" t="s">
        <v>29</v>
      </c>
      <c r="H114" s="4" t="s">
        <v>30</v>
      </c>
      <c r="I114" s="4" t="s">
        <v>31</v>
      </c>
      <c r="J114" s="7">
        <v>10.0</v>
      </c>
      <c r="K114" s="4">
        <v>-28.0</v>
      </c>
      <c r="L114" s="4">
        <v>-26.0</v>
      </c>
      <c r="M114" s="4">
        <v>2.0</v>
      </c>
      <c r="N114" s="4" t="s">
        <v>44</v>
      </c>
      <c r="O114" s="4">
        <f t="shared" si="1"/>
        <v>8</v>
      </c>
      <c r="P114" s="6">
        <v>3.792443</v>
      </c>
      <c r="Q114" s="6">
        <v>3.595042</v>
      </c>
      <c r="R114" s="6">
        <v>-0.1974</v>
      </c>
      <c r="S114" s="4">
        <v>2.0</v>
      </c>
      <c r="T114" s="4" t="s">
        <v>22</v>
      </c>
      <c r="U114" s="4" t="s">
        <v>66</v>
      </c>
      <c r="V114" s="4"/>
      <c r="W114" s="4"/>
      <c r="X114" s="4"/>
      <c r="Y114" s="4"/>
      <c r="Z114" s="4"/>
      <c r="AA114" s="4"/>
      <c r="AB114" s="4"/>
      <c r="AC114" s="4"/>
      <c r="AD114" s="4"/>
    </row>
    <row r="115" ht="14.25" customHeight="1">
      <c r="A115" s="4" t="s">
        <v>102</v>
      </c>
      <c r="B115" s="4" t="s">
        <v>27</v>
      </c>
      <c r="C115" s="4">
        <v>10.0</v>
      </c>
      <c r="D115" s="4" t="s">
        <v>28</v>
      </c>
      <c r="E115" s="4" t="s">
        <v>27</v>
      </c>
      <c r="F115" s="4">
        <v>31.0</v>
      </c>
      <c r="G115" s="4" t="s">
        <v>29</v>
      </c>
      <c r="H115" s="4" t="s">
        <v>30</v>
      </c>
      <c r="I115" s="4" t="s">
        <v>47</v>
      </c>
      <c r="J115" s="4">
        <f t="shared" ref="J115:J116" si="21">J114-M114</f>
        <v>8</v>
      </c>
      <c r="K115" s="4">
        <v>-26.0</v>
      </c>
      <c r="L115" s="4">
        <v>-19.0</v>
      </c>
      <c r="M115" s="4">
        <v>7.0</v>
      </c>
      <c r="N115" s="4" t="s">
        <v>51</v>
      </c>
      <c r="O115" s="4">
        <f t="shared" si="1"/>
        <v>1</v>
      </c>
      <c r="P115" s="6">
        <v>3.595042</v>
      </c>
      <c r="Q115" s="6">
        <v>3.825662</v>
      </c>
      <c r="R115" s="6">
        <v>0.23062</v>
      </c>
      <c r="S115" s="4">
        <v>5.0</v>
      </c>
      <c r="T115" s="4" t="s">
        <v>22</v>
      </c>
      <c r="U115" s="4" t="s">
        <v>110</v>
      </c>
      <c r="V115" s="4"/>
      <c r="W115" s="4"/>
      <c r="X115" s="4"/>
      <c r="Y115" s="4"/>
      <c r="Z115" s="4"/>
      <c r="AA115" s="4"/>
      <c r="AB115" s="4"/>
      <c r="AC115" s="4"/>
      <c r="AD115" s="4"/>
    </row>
    <row r="116" ht="14.25" customHeight="1">
      <c r="A116" s="4" t="s">
        <v>102</v>
      </c>
      <c r="B116" s="4" t="s">
        <v>27</v>
      </c>
      <c r="C116" s="4">
        <v>10.0</v>
      </c>
      <c r="D116" s="4" t="s">
        <v>28</v>
      </c>
      <c r="E116" s="4" t="s">
        <v>27</v>
      </c>
      <c r="F116" s="4">
        <v>21.0</v>
      </c>
      <c r="G116" s="4" t="s">
        <v>61</v>
      </c>
      <c r="H116" s="4" t="s">
        <v>30</v>
      </c>
      <c r="I116" s="4" t="s">
        <v>55</v>
      </c>
      <c r="J116" s="4">
        <f t="shared" si="21"/>
        <v>1</v>
      </c>
      <c r="K116" s="4">
        <v>-19.0</v>
      </c>
      <c r="L116" s="4">
        <v>-17.0</v>
      </c>
      <c r="M116" s="4">
        <v>2.0</v>
      </c>
      <c r="N116" s="4" t="s">
        <v>39</v>
      </c>
      <c r="O116" s="4">
        <f t="shared" si="1"/>
        <v>10</v>
      </c>
      <c r="P116" s="6">
        <v>3.825662</v>
      </c>
      <c r="Q116" s="6">
        <v>4.193824</v>
      </c>
      <c r="R116" s="6">
        <v>0.368162</v>
      </c>
      <c r="S116" s="4">
        <v>5.0</v>
      </c>
      <c r="T116" s="4" t="s">
        <v>22</v>
      </c>
      <c r="U116" s="4" t="s">
        <v>110</v>
      </c>
      <c r="V116" s="4"/>
      <c r="W116" s="4"/>
      <c r="X116" s="4"/>
      <c r="Y116" s="4"/>
      <c r="Z116" s="4"/>
      <c r="AA116" s="4"/>
      <c r="AB116" s="4"/>
      <c r="AC116" s="4"/>
      <c r="AD116" s="4"/>
    </row>
    <row r="117" ht="14.25" customHeight="1">
      <c r="A117" s="4" t="s">
        <v>102</v>
      </c>
      <c r="B117" s="4" t="s">
        <v>27</v>
      </c>
      <c r="C117" s="4">
        <v>10.0</v>
      </c>
      <c r="D117" s="4" t="s">
        <v>28</v>
      </c>
      <c r="E117" s="4" t="s">
        <v>27</v>
      </c>
      <c r="F117" s="4">
        <v>20.0</v>
      </c>
      <c r="G117" s="4" t="s">
        <v>65</v>
      </c>
      <c r="H117" s="4" t="s">
        <v>30</v>
      </c>
      <c r="I117" s="4" t="s">
        <v>31</v>
      </c>
      <c r="J117" s="7">
        <v>10.0</v>
      </c>
      <c r="K117" s="4">
        <v>-17.0</v>
      </c>
      <c r="L117" s="4">
        <v>0.0</v>
      </c>
      <c r="M117" s="4">
        <v>17.0</v>
      </c>
      <c r="N117" s="4" t="s">
        <v>32</v>
      </c>
      <c r="O117" s="4" t="str">
        <f t="shared" si="1"/>
        <v/>
      </c>
      <c r="P117" s="6">
        <v>4.193824</v>
      </c>
      <c r="Q117" s="6">
        <v>7.0</v>
      </c>
      <c r="R117" s="6">
        <v>2.806176</v>
      </c>
      <c r="S117" s="4" t="s">
        <v>23</v>
      </c>
      <c r="T117" s="4" t="s">
        <v>23</v>
      </c>
      <c r="U117" s="4" t="s">
        <v>23</v>
      </c>
      <c r="V117" s="4"/>
      <c r="W117" s="4"/>
      <c r="X117" s="4"/>
      <c r="Y117" s="4"/>
      <c r="Z117" s="4"/>
      <c r="AA117" s="4"/>
      <c r="AB117" s="4"/>
      <c r="AC117" s="4"/>
      <c r="AD117" s="4"/>
    </row>
    <row r="118" ht="14.25" customHeight="1">
      <c r="A118" s="4" t="s">
        <v>102</v>
      </c>
      <c r="B118" s="4" t="s">
        <v>27</v>
      </c>
      <c r="C118" s="4" t="s">
        <v>23</v>
      </c>
      <c r="D118" s="4" t="s">
        <v>23</v>
      </c>
      <c r="E118" s="4" t="s">
        <v>27</v>
      </c>
      <c r="F118" s="4">
        <v>42.0</v>
      </c>
      <c r="G118" s="4" t="s">
        <v>33</v>
      </c>
      <c r="H118" s="4" t="s">
        <v>34</v>
      </c>
      <c r="I118" s="4" t="s">
        <v>23</v>
      </c>
      <c r="J118" s="4"/>
      <c r="K118" s="4">
        <v>-10.0</v>
      </c>
      <c r="L118" s="4">
        <v>0.0</v>
      </c>
      <c r="M118" s="4">
        <v>20.0</v>
      </c>
      <c r="N118" s="4" t="s">
        <v>94</v>
      </c>
      <c r="O118" s="4" t="str">
        <f t="shared" si="1"/>
        <v/>
      </c>
      <c r="P118" s="8"/>
      <c r="Q118" s="8"/>
      <c r="R118" s="6">
        <v>0.0</v>
      </c>
      <c r="S118" s="4" t="s">
        <v>23</v>
      </c>
      <c r="T118" s="4" t="s">
        <v>23</v>
      </c>
      <c r="U118" s="4" t="s">
        <v>23</v>
      </c>
      <c r="V118" s="4"/>
      <c r="W118" s="4"/>
      <c r="X118" s="4"/>
      <c r="Y118" s="4"/>
      <c r="Z118" s="4"/>
      <c r="AA118" s="4"/>
      <c r="AB118" s="4"/>
      <c r="AC118" s="4"/>
      <c r="AD118" s="4"/>
    </row>
    <row r="119" ht="14.25" customHeight="1">
      <c r="A119" s="4" t="s">
        <v>102</v>
      </c>
      <c r="B119" s="4" t="s">
        <v>27</v>
      </c>
      <c r="C119" s="4" t="s">
        <v>23</v>
      </c>
      <c r="D119" s="4" t="s">
        <v>23</v>
      </c>
      <c r="E119" s="4" t="s">
        <v>27</v>
      </c>
      <c r="F119" s="4">
        <v>42.0</v>
      </c>
      <c r="G119" s="4" t="s">
        <v>33</v>
      </c>
      <c r="H119" s="4" t="s">
        <v>25</v>
      </c>
      <c r="I119" s="4" t="s">
        <v>23</v>
      </c>
      <c r="J119" s="4"/>
      <c r="K119" s="4">
        <v>35.0</v>
      </c>
      <c r="L119" s="4">
        <v>0.0</v>
      </c>
      <c r="M119" s="4">
        <v>65.0</v>
      </c>
      <c r="N119" s="4" t="s">
        <v>26</v>
      </c>
      <c r="O119" s="4">
        <f t="shared" si="1"/>
        <v>10</v>
      </c>
      <c r="P119" s="5">
        <v>0.0</v>
      </c>
      <c r="Q119" s="6">
        <v>0.884959</v>
      </c>
      <c r="R119" s="6">
        <f>Q119-P119</f>
        <v>0.884959</v>
      </c>
      <c r="S119" s="4" t="s">
        <v>23</v>
      </c>
      <c r="T119" s="4" t="s">
        <v>23</v>
      </c>
      <c r="U119" s="4" t="s">
        <v>23</v>
      </c>
      <c r="V119" s="4"/>
      <c r="W119" s="4"/>
      <c r="X119" s="4"/>
      <c r="Y119" s="4"/>
      <c r="Z119" s="4"/>
      <c r="AA119" s="4"/>
      <c r="AB119" s="4"/>
      <c r="AC119" s="4"/>
      <c r="AD119" s="4"/>
    </row>
    <row r="120" ht="14.25" customHeight="1">
      <c r="A120" s="4" t="s">
        <v>102</v>
      </c>
      <c r="B120" s="4" t="s">
        <v>22</v>
      </c>
      <c r="C120" s="4">
        <v>15.0</v>
      </c>
      <c r="D120" s="4" t="s">
        <v>41</v>
      </c>
      <c r="E120" s="4" t="s">
        <v>22</v>
      </c>
      <c r="F120" s="4">
        <v>4.0</v>
      </c>
      <c r="G120" s="4" t="s">
        <v>42</v>
      </c>
      <c r="H120" s="4" t="s">
        <v>43</v>
      </c>
      <c r="I120" s="4" t="s">
        <v>31</v>
      </c>
      <c r="J120" s="7">
        <v>10.0</v>
      </c>
      <c r="K120" s="4">
        <v>25.0</v>
      </c>
      <c r="L120" s="4">
        <v>31.0</v>
      </c>
      <c r="M120" s="4">
        <v>6.0</v>
      </c>
      <c r="N120" s="4" t="s">
        <v>44</v>
      </c>
      <c r="O120" s="4">
        <f t="shared" si="1"/>
        <v>4</v>
      </c>
      <c r="P120" s="6">
        <v>0.884959</v>
      </c>
      <c r="Q120" s="6">
        <v>1.172528</v>
      </c>
      <c r="R120" s="6">
        <v>0.287568</v>
      </c>
      <c r="S120" s="4" t="s">
        <v>23</v>
      </c>
      <c r="T120" s="4" t="s">
        <v>23</v>
      </c>
      <c r="U120" s="4" t="s">
        <v>23</v>
      </c>
      <c r="V120" s="4"/>
      <c r="W120" s="4"/>
      <c r="X120" s="4"/>
      <c r="Y120" s="4"/>
      <c r="Z120" s="4"/>
      <c r="AA120" s="4"/>
      <c r="AB120" s="4"/>
      <c r="AC120" s="4"/>
      <c r="AD120" s="4"/>
    </row>
    <row r="121" ht="14.25" customHeight="1">
      <c r="A121" s="4" t="s">
        <v>102</v>
      </c>
      <c r="B121" s="4" t="s">
        <v>22</v>
      </c>
      <c r="C121" s="4">
        <v>15.0</v>
      </c>
      <c r="D121" s="4" t="s">
        <v>41</v>
      </c>
      <c r="E121" s="4" t="s">
        <v>22</v>
      </c>
      <c r="F121" s="4">
        <v>82.0</v>
      </c>
      <c r="G121" s="4" t="s">
        <v>72</v>
      </c>
      <c r="H121" s="4" t="s">
        <v>82</v>
      </c>
      <c r="I121" s="4" t="s">
        <v>47</v>
      </c>
      <c r="J121" s="4">
        <f t="shared" ref="J121:J122" si="22">J120-M120</f>
        <v>4</v>
      </c>
      <c r="K121" s="4">
        <v>31.0</v>
      </c>
      <c r="L121" s="4">
        <v>31.0</v>
      </c>
      <c r="M121" s="4">
        <v>0.0</v>
      </c>
      <c r="N121" s="4" t="s">
        <v>51</v>
      </c>
      <c r="O121" s="4">
        <f t="shared" si="1"/>
        <v>4</v>
      </c>
      <c r="P121" s="6">
        <v>1.172528</v>
      </c>
      <c r="Q121" s="6">
        <v>0.391952</v>
      </c>
      <c r="R121" s="6">
        <v>-0.78058</v>
      </c>
      <c r="S121" s="4" t="s">
        <v>23</v>
      </c>
      <c r="T121" s="4" t="s">
        <v>23</v>
      </c>
      <c r="U121" s="4" t="s">
        <v>23</v>
      </c>
      <c r="V121" s="4"/>
      <c r="W121" s="4"/>
      <c r="X121" s="4"/>
      <c r="Y121" s="4"/>
      <c r="Z121" s="4"/>
      <c r="AA121" s="4"/>
      <c r="AB121" s="4"/>
      <c r="AC121" s="4"/>
      <c r="AD121" s="4"/>
    </row>
    <row r="122" ht="14.25" customHeight="1">
      <c r="A122" s="4" t="s">
        <v>102</v>
      </c>
      <c r="B122" s="4" t="s">
        <v>22</v>
      </c>
      <c r="C122" s="4" t="s">
        <v>23</v>
      </c>
      <c r="D122" s="4" t="s">
        <v>23</v>
      </c>
      <c r="E122" s="4" t="s">
        <v>27</v>
      </c>
      <c r="F122" s="4" t="s">
        <v>23</v>
      </c>
      <c r="G122" s="4" t="s">
        <v>23</v>
      </c>
      <c r="H122" s="4" t="s">
        <v>98</v>
      </c>
      <c r="I122" s="4" t="s">
        <v>55</v>
      </c>
      <c r="J122" s="4">
        <f t="shared" si="22"/>
        <v>4</v>
      </c>
      <c r="K122" s="4">
        <v>31.0</v>
      </c>
      <c r="L122" s="4">
        <v>46.0</v>
      </c>
      <c r="M122" s="4">
        <v>15.0</v>
      </c>
      <c r="N122" s="4" t="s">
        <v>39</v>
      </c>
      <c r="O122" s="4">
        <f t="shared" si="1"/>
        <v>10</v>
      </c>
      <c r="P122" s="6">
        <v>0.391952</v>
      </c>
      <c r="Q122" s="6">
        <v>2.468226</v>
      </c>
      <c r="R122" s="6">
        <v>2.076274</v>
      </c>
      <c r="S122" s="4" t="s">
        <v>23</v>
      </c>
      <c r="T122" s="4" t="s">
        <v>23</v>
      </c>
      <c r="U122" s="4" t="s">
        <v>23</v>
      </c>
      <c r="V122" s="4"/>
      <c r="W122" s="4"/>
      <c r="X122" s="4"/>
      <c r="Y122" s="4"/>
      <c r="Z122" s="4"/>
      <c r="AA122" s="4"/>
      <c r="AB122" s="4"/>
      <c r="AC122" s="4"/>
      <c r="AD122" s="4"/>
    </row>
    <row r="123" ht="14.25" customHeight="1">
      <c r="A123" s="4" t="s">
        <v>102</v>
      </c>
      <c r="B123" s="4" t="s">
        <v>22</v>
      </c>
      <c r="C123" s="4">
        <v>15.0</v>
      </c>
      <c r="D123" s="4" t="s">
        <v>41</v>
      </c>
      <c r="E123" s="4" t="s">
        <v>22</v>
      </c>
      <c r="F123" s="4">
        <v>82.0</v>
      </c>
      <c r="G123" s="4" t="s">
        <v>72</v>
      </c>
      <c r="H123" s="4" t="s">
        <v>43</v>
      </c>
      <c r="I123" s="4" t="s">
        <v>31</v>
      </c>
      <c r="J123" s="7">
        <v>10.0</v>
      </c>
      <c r="K123" s="4">
        <v>46.0</v>
      </c>
      <c r="L123" s="4">
        <v>-39.0</v>
      </c>
      <c r="M123" s="4">
        <v>15.0</v>
      </c>
      <c r="N123" s="4" t="s">
        <v>39</v>
      </c>
      <c r="O123" s="4">
        <f t="shared" si="1"/>
        <v>10</v>
      </c>
      <c r="P123" s="6">
        <v>2.468226</v>
      </c>
      <c r="Q123" s="6">
        <v>3.286032</v>
      </c>
      <c r="R123" s="6">
        <v>0.817806</v>
      </c>
      <c r="S123" s="4" t="s">
        <v>23</v>
      </c>
      <c r="T123" s="4" t="s">
        <v>23</v>
      </c>
      <c r="U123" s="4" t="s">
        <v>23</v>
      </c>
      <c r="V123" s="4"/>
      <c r="W123" s="4"/>
      <c r="X123" s="4"/>
      <c r="Y123" s="4"/>
      <c r="Z123" s="4"/>
      <c r="AA123" s="4"/>
      <c r="AB123" s="4"/>
      <c r="AC123" s="4"/>
      <c r="AD123" s="4"/>
    </row>
    <row r="124" ht="14.25" customHeight="1">
      <c r="A124" s="4" t="s">
        <v>102</v>
      </c>
      <c r="B124" s="4" t="s">
        <v>22</v>
      </c>
      <c r="C124" s="4">
        <v>15.0</v>
      </c>
      <c r="D124" s="4" t="s">
        <v>41</v>
      </c>
      <c r="E124" s="4" t="s">
        <v>22</v>
      </c>
      <c r="F124" s="4">
        <v>23.0</v>
      </c>
      <c r="G124" s="4" t="s">
        <v>49</v>
      </c>
      <c r="H124" s="4" t="s">
        <v>30</v>
      </c>
      <c r="I124" s="4" t="s">
        <v>31</v>
      </c>
      <c r="J124" s="7">
        <v>10.0</v>
      </c>
      <c r="K124" s="4">
        <v>-39.0</v>
      </c>
      <c r="L124" s="4">
        <v>-33.0</v>
      </c>
      <c r="M124" s="4">
        <v>6.0</v>
      </c>
      <c r="N124" s="4" t="s">
        <v>44</v>
      </c>
      <c r="O124" s="4">
        <f t="shared" si="1"/>
        <v>4</v>
      </c>
      <c r="P124" s="6">
        <v>3.286032</v>
      </c>
      <c r="Q124" s="6">
        <v>3.486481</v>
      </c>
      <c r="R124" s="6">
        <v>0.200448</v>
      </c>
      <c r="S124" s="4">
        <v>2.0</v>
      </c>
      <c r="T124" s="4" t="s">
        <v>27</v>
      </c>
      <c r="U124" s="4" t="s">
        <v>50</v>
      </c>
      <c r="V124" s="4"/>
      <c r="W124" s="4"/>
      <c r="X124" s="4"/>
      <c r="Y124" s="4"/>
      <c r="Z124" s="4"/>
      <c r="AA124" s="4"/>
      <c r="AB124" s="4"/>
      <c r="AC124" s="4"/>
      <c r="AD124" s="4"/>
    </row>
    <row r="125" ht="14.25" customHeight="1">
      <c r="A125" s="4" t="s">
        <v>102</v>
      </c>
      <c r="B125" s="4" t="s">
        <v>22</v>
      </c>
      <c r="C125" s="4">
        <v>15.0</v>
      </c>
      <c r="D125" s="4" t="s">
        <v>41</v>
      </c>
      <c r="E125" s="4" t="s">
        <v>22</v>
      </c>
      <c r="F125" s="4">
        <v>83.0</v>
      </c>
      <c r="G125" s="4" t="s">
        <v>99</v>
      </c>
      <c r="H125" s="4" t="s">
        <v>82</v>
      </c>
      <c r="I125" s="4" t="s">
        <v>47</v>
      </c>
      <c r="J125" s="4">
        <f t="shared" ref="J125:J127" si="23">J124-M124</f>
        <v>4</v>
      </c>
      <c r="K125" s="4">
        <v>-33.0</v>
      </c>
      <c r="L125" s="4">
        <v>-33.0</v>
      </c>
      <c r="M125" s="4">
        <v>0.0</v>
      </c>
      <c r="N125" s="4" t="s">
        <v>51</v>
      </c>
      <c r="O125" s="4">
        <f t="shared" si="1"/>
        <v>4</v>
      </c>
      <c r="P125" s="6">
        <v>3.486481</v>
      </c>
      <c r="Q125" s="6">
        <v>2.873191</v>
      </c>
      <c r="R125" s="6">
        <v>-0.61329</v>
      </c>
      <c r="S125" s="4" t="s">
        <v>23</v>
      </c>
      <c r="T125" s="4" t="s">
        <v>23</v>
      </c>
      <c r="U125" s="4" t="s">
        <v>23</v>
      </c>
      <c r="V125" s="4"/>
      <c r="W125" s="4"/>
      <c r="X125" s="4"/>
      <c r="Y125" s="4"/>
      <c r="Z125" s="4"/>
      <c r="AA125" s="4"/>
      <c r="AB125" s="4"/>
      <c r="AC125" s="4"/>
      <c r="AD125" s="4"/>
    </row>
    <row r="126" ht="14.25" customHeight="1">
      <c r="A126" s="4" t="s">
        <v>102</v>
      </c>
      <c r="B126" s="4" t="s">
        <v>22</v>
      </c>
      <c r="C126" s="4">
        <v>15.0</v>
      </c>
      <c r="D126" s="4" t="s">
        <v>41</v>
      </c>
      <c r="E126" s="4" t="s">
        <v>22</v>
      </c>
      <c r="F126" s="4">
        <v>4.0</v>
      </c>
      <c r="G126" s="4" t="s">
        <v>42</v>
      </c>
      <c r="H126" s="4" t="s">
        <v>82</v>
      </c>
      <c r="I126" s="4" t="s">
        <v>55</v>
      </c>
      <c r="J126" s="4">
        <f t="shared" si="23"/>
        <v>4</v>
      </c>
      <c r="K126" s="4">
        <v>-33.0</v>
      </c>
      <c r="L126" s="4">
        <v>-33.0</v>
      </c>
      <c r="M126" s="4">
        <v>0.0</v>
      </c>
      <c r="N126" s="4" t="s">
        <v>56</v>
      </c>
      <c r="O126" s="4">
        <f t="shared" si="1"/>
        <v>4</v>
      </c>
      <c r="P126" s="6">
        <v>2.873191</v>
      </c>
      <c r="Q126" s="6">
        <v>1.402914</v>
      </c>
      <c r="R126" s="6">
        <v>-1.47028</v>
      </c>
      <c r="S126" s="4" t="s">
        <v>23</v>
      </c>
      <c r="T126" s="4" t="s">
        <v>23</v>
      </c>
      <c r="U126" s="4" t="s">
        <v>23</v>
      </c>
      <c r="V126" s="4"/>
      <c r="W126" s="4"/>
      <c r="X126" s="4"/>
      <c r="Y126" s="4"/>
      <c r="Z126" s="4"/>
      <c r="AA126" s="4"/>
      <c r="AB126" s="4"/>
      <c r="AC126" s="4"/>
      <c r="AD126" s="4"/>
    </row>
    <row r="127" ht="14.25" customHeight="1">
      <c r="A127" s="4" t="s">
        <v>102</v>
      </c>
      <c r="B127" s="4" t="s">
        <v>22</v>
      </c>
      <c r="C127" s="4">
        <v>15.0</v>
      </c>
      <c r="D127" s="4" t="s">
        <v>41</v>
      </c>
      <c r="E127" s="4" t="s">
        <v>22</v>
      </c>
      <c r="F127" s="4">
        <v>1.0</v>
      </c>
      <c r="G127" s="4" t="s">
        <v>111</v>
      </c>
      <c r="H127" s="4" t="s">
        <v>82</v>
      </c>
      <c r="I127" s="4" t="s">
        <v>59</v>
      </c>
      <c r="J127" s="4">
        <f t="shared" si="23"/>
        <v>4</v>
      </c>
      <c r="K127" s="4">
        <v>-33.0</v>
      </c>
      <c r="L127" s="4">
        <v>-33.0</v>
      </c>
      <c r="M127" s="4">
        <v>0.0</v>
      </c>
      <c r="N127" s="4" t="s">
        <v>108</v>
      </c>
      <c r="O127" s="4">
        <f t="shared" si="1"/>
        <v>10</v>
      </c>
      <c r="P127" s="6">
        <v>1.402914</v>
      </c>
      <c r="Q127" s="6">
        <v>-1.524915</v>
      </c>
      <c r="R127" s="6">
        <f>Q127-P127</f>
        <v>-2.927829</v>
      </c>
      <c r="S127" s="4" t="s">
        <v>23</v>
      </c>
      <c r="T127" s="4" t="s">
        <v>23</v>
      </c>
      <c r="U127" s="4" t="s">
        <v>23</v>
      </c>
      <c r="V127" s="4"/>
      <c r="W127" s="4"/>
      <c r="X127" s="4"/>
      <c r="Y127" s="4"/>
      <c r="Z127" s="4"/>
      <c r="AA127" s="4"/>
      <c r="AB127" s="4"/>
      <c r="AC127" s="4"/>
      <c r="AD127" s="4"/>
    </row>
    <row r="128" ht="14.25" customHeight="1">
      <c r="A128" s="4" t="s">
        <v>102</v>
      </c>
      <c r="B128" s="4" t="s">
        <v>27</v>
      </c>
      <c r="C128" s="4">
        <v>10.0</v>
      </c>
      <c r="D128" s="4" t="s">
        <v>28</v>
      </c>
      <c r="E128" s="4" t="s">
        <v>27</v>
      </c>
      <c r="F128" s="4">
        <v>31.0</v>
      </c>
      <c r="G128" s="4" t="s">
        <v>29</v>
      </c>
      <c r="H128" s="4" t="s">
        <v>30</v>
      </c>
      <c r="I128" s="4" t="s">
        <v>31</v>
      </c>
      <c r="J128" s="7">
        <v>10.0</v>
      </c>
      <c r="K128" s="4">
        <v>33.0</v>
      </c>
      <c r="L128" s="4">
        <v>0.0</v>
      </c>
      <c r="M128" s="4">
        <v>67.0</v>
      </c>
      <c r="N128" s="4" t="s">
        <v>32</v>
      </c>
      <c r="O128" s="4" t="str">
        <f t="shared" si="1"/>
        <v/>
      </c>
      <c r="P128" s="6">
        <v>1.524915</v>
      </c>
      <c r="Q128" s="6">
        <v>7.0</v>
      </c>
      <c r="R128" s="6">
        <v>5.475085</v>
      </c>
      <c r="S128" s="4" t="s">
        <v>23</v>
      </c>
      <c r="T128" s="4" t="s">
        <v>23</v>
      </c>
      <c r="U128" s="4" t="s">
        <v>23</v>
      </c>
      <c r="V128" s="4"/>
      <c r="W128" s="4"/>
      <c r="X128" s="4"/>
      <c r="Y128" s="4"/>
      <c r="Z128" s="4"/>
      <c r="AA128" s="4"/>
      <c r="AB128" s="4"/>
      <c r="AC128" s="4"/>
      <c r="AD128" s="4"/>
    </row>
    <row r="129" ht="14.25" customHeight="1">
      <c r="A129" s="4" t="s">
        <v>102</v>
      </c>
      <c r="B129" s="4" t="s">
        <v>27</v>
      </c>
      <c r="C129" s="4" t="s">
        <v>23</v>
      </c>
      <c r="D129" s="4" t="s">
        <v>23</v>
      </c>
      <c r="E129" s="4" t="s">
        <v>27</v>
      </c>
      <c r="F129" s="4">
        <v>42.0</v>
      </c>
      <c r="G129" s="4" t="s">
        <v>33</v>
      </c>
      <c r="H129" s="4" t="s">
        <v>34</v>
      </c>
      <c r="I129" s="4" t="s">
        <v>23</v>
      </c>
      <c r="J129" s="4"/>
      <c r="K129" s="4">
        <v>-10.0</v>
      </c>
      <c r="L129" s="4">
        <v>0.0</v>
      </c>
      <c r="M129" s="4">
        <v>20.0</v>
      </c>
      <c r="N129" s="4" t="s">
        <v>94</v>
      </c>
      <c r="O129" s="4" t="str">
        <f t="shared" si="1"/>
        <v/>
      </c>
      <c r="P129" s="8"/>
      <c r="Q129" s="8"/>
      <c r="R129" s="6">
        <v>0.0</v>
      </c>
      <c r="S129" s="4" t="s">
        <v>23</v>
      </c>
      <c r="T129" s="4" t="s">
        <v>23</v>
      </c>
      <c r="U129" s="4" t="s">
        <v>23</v>
      </c>
      <c r="V129" s="4"/>
      <c r="W129" s="4"/>
      <c r="X129" s="4"/>
      <c r="Y129" s="4"/>
      <c r="Z129" s="4"/>
      <c r="AA129" s="4"/>
      <c r="AB129" s="4"/>
      <c r="AC129" s="4"/>
      <c r="AD129" s="4"/>
    </row>
    <row r="130" ht="14.25" customHeight="1">
      <c r="A130" s="4" t="s">
        <v>102</v>
      </c>
      <c r="B130" s="4" t="s">
        <v>27</v>
      </c>
      <c r="C130" s="4" t="s">
        <v>23</v>
      </c>
      <c r="D130" s="4" t="s">
        <v>23</v>
      </c>
      <c r="E130" s="4" t="s">
        <v>27</v>
      </c>
      <c r="F130" s="4">
        <v>42.0</v>
      </c>
      <c r="G130" s="4" t="s">
        <v>33</v>
      </c>
      <c r="H130" s="4" t="s">
        <v>25</v>
      </c>
      <c r="I130" s="4" t="s">
        <v>23</v>
      </c>
      <c r="J130" s="4"/>
      <c r="K130" s="4">
        <v>35.0</v>
      </c>
      <c r="L130" s="4">
        <v>0.0</v>
      </c>
      <c r="M130" s="4">
        <v>65.0</v>
      </c>
      <c r="N130" s="4" t="s">
        <v>26</v>
      </c>
      <c r="O130" s="4">
        <f t="shared" si="1"/>
        <v>10</v>
      </c>
      <c r="P130" s="5">
        <v>0.0</v>
      </c>
      <c r="Q130" s="6">
        <v>0.884959</v>
      </c>
      <c r="R130" s="6">
        <f>Q130-P130</f>
        <v>0.884959</v>
      </c>
      <c r="S130" s="4" t="s">
        <v>23</v>
      </c>
      <c r="T130" s="4" t="s">
        <v>23</v>
      </c>
      <c r="U130" s="4" t="s">
        <v>23</v>
      </c>
      <c r="V130" s="4"/>
      <c r="W130" s="4"/>
      <c r="X130" s="4"/>
      <c r="Y130" s="4"/>
      <c r="Z130" s="4"/>
      <c r="AA130" s="4"/>
      <c r="AB130" s="4"/>
      <c r="AC130" s="4"/>
      <c r="AD130" s="4"/>
    </row>
    <row r="131" ht="14.25" customHeight="1">
      <c r="A131" s="4" t="s">
        <v>102</v>
      </c>
      <c r="B131" s="4" t="s">
        <v>22</v>
      </c>
      <c r="C131" s="4">
        <v>15.0</v>
      </c>
      <c r="D131" s="4" t="s">
        <v>41</v>
      </c>
      <c r="E131" s="4" t="s">
        <v>22</v>
      </c>
      <c r="F131" s="4">
        <v>23.0</v>
      </c>
      <c r="G131" s="4" t="s">
        <v>49</v>
      </c>
      <c r="H131" s="4" t="s">
        <v>30</v>
      </c>
      <c r="I131" s="4" t="s">
        <v>31</v>
      </c>
      <c r="J131" s="7">
        <v>10.0</v>
      </c>
      <c r="K131" s="4">
        <v>25.0</v>
      </c>
      <c r="L131" s="4">
        <v>28.0</v>
      </c>
      <c r="M131" s="4">
        <v>3.0</v>
      </c>
      <c r="N131" s="4" t="s">
        <v>44</v>
      </c>
      <c r="O131" s="4">
        <f t="shared" si="1"/>
        <v>7</v>
      </c>
      <c r="P131" s="6">
        <v>0.884959</v>
      </c>
      <c r="Q131" s="6">
        <v>0.664532</v>
      </c>
      <c r="R131" s="6">
        <v>-0.22043</v>
      </c>
      <c r="S131" s="4">
        <v>97.0</v>
      </c>
      <c r="T131" s="4" t="s">
        <v>27</v>
      </c>
      <c r="U131" s="4" t="s">
        <v>85</v>
      </c>
      <c r="V131" s="4"/>
      <c r="W131" s="4"/>
      <c r="X131" s="4"/>
      <c r="Y131" s="4"/>
      <c r="Z131" s="4"/>
      <c r="AA131" s="4"/>
      <c r="AB131" s="4"/>
      <c r="AC131" s="4"/>
      <c r="AD131" s="4"/>
    </row>
    <row r="132" ht="14.25" customHeight="1">
      <c r="A132" s="4" t="s">
        <v>102</v>
      </c>
      <c r="B132" s="4" t="s">
        <v>22</v>
      </c>
      <c r="C132" s="4">
        <v>15.0</v>
      </c>
      <c r="D132" s="4" t="s">
        <v>41</v>
      </c>
      <c r="E132" s="4" t="s">
        <v>22</v>
      </c>
      <c r="F132" s="4">
        <v>4.0</v>
      </c>
      <c r="G132" s="4" t="s">
        <v>42</v>
      </c>
      <c r="H132" s="4" t="s">
        <v>82</v>
      </c>
      <c r="I132" s="4" t="s">
        <v>47</v>
      </c>
      <c r="J132" s="4">
        <f t="shared" ref="J132:J133" si="24">J131-M131</f>
        <v>7</v>
      </c>
      <c r="K132" s="4">
        <v>28.0</v>
      </c>
      <c r="L132" s="4">
        <v>28.0</v>
      </c>
      <c r="M132" s="4">
        <v>0.0</v>
      </c>
      <c r="N132" s="4" t="s">
        <v>51</v>
      </c>
      <c r="O132" s="4">
        <f t="shared" si="1"/>
        <v>7</v>
      </c>
      <c r="P132" s="6">
        <v>0.664532</v>
      </c>
      <c r="Q132" s="6">
        <v>-0.17605</v>
      </c>
      <c r="R132" s="6">
        <v>-0.84058</v>
      </c>
      <c r="S132" s="4" t="s">
        <v>23</v>
      </c>
      <c r="T132" s="4" t="s">
        <v>23</v>
      </c>
      <c r="U132" s="4" t="s">
        <v>23</v>
      </c>
      <c r="V132" s="4"/>
      <c r="W132" s="4"/>
      <c r="X132" s="4"/>
      <c r="Y132" s="4"/>
      <c r="Z132" s="4"/>
      <c r="AA132" s="4"/>
      <c r="AB132" s="4"/>
      <c r="AC132" s="4"/>
      <c r="AD132" s="4"/>
    </row>
    <row r="133" ht="14.25" customHeight="1">
      <c r="A133" s="4" t="s">
        <v>102</v>
      </c>
      <c r="B133" s="4" t="s">
        <v>22</v>
      </c>
      <c r="C133" s="4">
        <v>15.0</v>
      </c>
      <c r="D133" s="4" t="s">
        <v>41</v>
      </c>
      <c r="E133" s="4" t="s">
        <v>22</v>
      </c>
      <c r="F133" s="4">
        <v>11.0</v>
      </c>
      <c r="G133" s="4" t="s">
        <v>77</v>
      </c>
      <c r="H133" s="4" t="s">
        <v>43</v>
      </c>
      <c r="I133" s="4" t="s">
        <v>55</v>
      </c>
      <c r="J133" s="4">
        <f t="shared" si="24"/>
        <v>7</v>
      </c>
      <c r="K133" s="4">
        <v>28.0</v>
      </c>
      <c r="L133" s="4">
        <v>42.0</v>
      </c>
      <c r="M133" s="4">
        <v>14.0</v>
      </c>
      <c r="N133" s="4" t="s">
        <v>39</v>
      </c>
      <c r="O133" s="4">
        <f t="shared" si="1"/>
        <v>10</v>
      </c>
      <c r="P133" s="6">
        <v>-0.17605</v>
      </c>
      <c r="Q133" s="6">
        <v>2.168501</v>
      </c>
      <c r="R133" s="6">
        <v>2.344553</v>
      </c>
      <c r="S133" s="4" t="s">
        <v>23</v>
      </c>
      <c r="T133" s="4" t="s">
        <v>23</v>
      </c>
      <c r="U133" s="4" t="s">
        <v>23</v>
      </c>
      <c r="V133" s="4"/>
      <c r="W133" s="4"/>
      <c r="X133" s="4"/>
      <c r="Y133" s="4"/>
      <c r="Z133" s="4"/>
      <c r="AA133" s="4"/>
      <c r="AB133" s="4"/>
      <c r="AC133" s="4"/>
      <c r="AD133" s="4"/>
    </row>
    <row r="134" ht="14.25" customHeight="1">
      <c r="A134" s="4" t="s">
        <v>102</v>
      </c>
      <c r="B134" s="4" t="s">
        <v>22</v>
      </c>
      <c r="C134" s="4">
        <v>15.0</v>
      </c>
      <c r="D134" s="4" t="s">
        <v>41</v>
      </c>
      <c r="E134" s="4" t="s">
        <v>22</v>
      </c>
      <c r="F134" s="4">
        <v>23.0</v>
      </c>
      <c r="G134" s="4" t="s">
        <v>49</v>
      </c>
      <c r="H134" s="4" t="s">
        <v>82</v>
      </c>
      <c r="I134" s="4" t="s">
        <v>31</v>
      </c>
      <c r="J134" s="7">
        <v>10.0</v>
      </c>
      <c r="K134" s="4">
        <v>42.0</v>
      </c>
      <c r="L134" s="4">
        <v>42.0</v>
      </c>
      <c r="M134" s="4">
        <v>0.0</v>
      </c>
      <c r="N134" s="4" t="s">
        <v>44</v>
      </c>
      <c r="O134" s="4">
        <f t="shared" si="1"/>
        <v>10</v>
      </c>
      <c r="P134" s="6">
        <v>2.168501</v>
      </c>
      <c r="Q134" s="6">
        <v>1.571283</v>
      </c>
      <c r="R134" s="6">
        <v>-0.59722</v>
      </c>
      <c r="S134" s="4" t="s">
        <v>23</v>
      </c>
      <c r="T134" s="4" t="s">
        <v>23</v>
      </c>
      <c r="U134" s="4" t="s">
        <v>23</v>
      </c>
      <c r="V134" s="4"/>
      <c r="W134" s="4"/>
      <c r="X134" s="4"/>
      <c r="Y134" s="4"/>
      <c r="Z134" s="4"/>
      <c r="AA134" s="4"/>
      <c r="AB134" s="4"/>
      <c r="AC134" s="4"/>
      <c r="AD134" s="4"/>
    </row>
    <row r="135" ht="14.25" customHeight="1">
      <c r="A135" s="4" t="s">
        <v>102</v>
      </c>
      <c r="B135" s="4" t="s">
        <v>22</v>
      </c>
      <c r="C135" s="4">
        <v>15.0</v>
      </c>
      <c r="D135" s="4" t="s">
        <v>41</v>
      </c>
      <c r="E135" s="4" t="s">
        <v>22</v>
      </c>
      <c r="F135" s="4">
        <v>15.0</v>
      </c>
      <c r="G135" s="4" t="s">
        <v>41</v>
      </c>
      <c r="H135" s="4" t="s">
        <v>30</v>
      </c>
      <c r="I135" s="4" t="s">
        <v>47</v>
      </c>
      <c r="J135" s="4">
        <f>J134-M134</f>
        <v>10</v>
      </c>
      <c r="K135" s="4">
        <v>42.0</v>
      </c>
      <c r="L135" s="4">
        <v>-44.0</v>
      </c>
      <c r="M135" s="4">
        <v>14.0</v>
      </c>
      <c r="N135" s="4" t="s">
        <v>39</v>
      </c>
      <c r="O135" s="4">
        <f t="shared" si="1"/>
        <v>10</v>
      </c>
      <c r="P135" s="6">
        <v>1.571283</v>
      </c>
      <c r="Q135" s="6">
        <v>3.005933</v>
      </c>
      <c r="R135" s="6">
        <v>1.434651</v>
      </c>
      <c r="S135" s="4" t="s">
        <v>23</v>
      </c>
      <c r="T135" s="4" t="s">
        <v>23</v>
      </c>
      <c r="U135" s="4" t="s">
        <v>23</v>
      </c>
      <c r="V135" s="4"/>
      <c r="W135" s="4"/>
      <c r="X135" s="4"/>
      <c r="Y135" s="4"/>
      <c r="Z135" s="4"/>
      <c r="AA135" s="4"/>
      <c r="AB135" s="4"/>
      <c r="AC135" s="4"/>
      <c r="AD135" s="4"/>
    </row>
    <row r="136" ht="14.25" customHeight="1">
      <c r="A136" s="4" t="s">
        <v>102</v>
      </c>
      <c r="B136" s="4" t="s">
        <v>22</v>
      </c>
      <c r="C136" s="4">
        <v>15.0</v>
      </c>
      <c r="D136" s="4" t="s">
        <v>41</v>
      </c>
      <c r="E136" s="4" t="s">
        <v>22</v>
      </c>
      <c r="F136" s="4">
        <v>83.0</v>
      </c>
      <c r="G136" s="4" t="s">
        <v>99</v>
      </c>
      <c r="H136" s="4" t="s">
        <v>43</v>
      </c>
      <c r="I136" s="4" t="s">
        <v>31</v>
      </c>
      <c r="J136" s="7">
        <v>10.0</v>
      </c>
      <c r="K136" s="4">
        <v>-44.0</v>
      </c>
      <c r="L136" s="4">
        <v>-39.0</v>
      </c>
      <c r="M136" s="4">
        <v>5.0</v>
      </c>
      <c r="N136" s="4" t="s">
        <v>44</v>
      </c>
      <c r="O136" s="4">
        <f t="shared" si="1"/>
        <v>5</v>
      </c>
      <c r="P136" s="6">
        <v>3.005933</v>
      </c>
      <c r="Q136" s="6">
        <v>3.128795</v>
      </c>
      <c r="R136" s="6">
        <v>0.122861</v>
      </c>
      <c r="S136" s="4">
        <v>2.0</v>
      </c>
      <c r="T136" s="4" t="s">
        <v>27</v>
      </c>
      <c r="U136" s="4" t="s">
        <v>50</v>
      </c>
      <c r="V136" s="4"/>
      <c r="W136" s="4"/>
      <c r="X136" s="4"/>
      <c r="Y136" s="4"/>
      <c r="Z136" s="4"/>
      <c r="AA136" s="4"/>
      <c r="AB136" s="4"/>
      <c r="AC136" s="4"/>
      <c r="AD136" s="4"/>
    </row>
    <row r="137" ht="14.25" customHeight="1">
      <c r="A137" s="4" t="s">
        <v>112</v>
      </c>
      <c r="B137" s="4" t="s">
        <v>22</v>
      </c>
      <c r="C137" s="4" t="s">
        <v>23</v>
      </c>
      <c r="D137" s="4" t="s">
        <v>23</v>
      </c>
      <c r="E137" s="4" t="s">
        <v>22</v>
      </c>
      <c r="F137" s="4" t="s">
        <v>23</v>
      </c>
      <c r="G137" s="4" t="s">
        <v>23</v>
      </c>
      <c r="H137" s="4" t="s">
        <v>74</v>
      </c>
      <c r="I137" s="4" t="s">
        <v>47</v>
      </c>
      <c r="J137" s="4">
        <f t="shared" ref="J137:J138" si="25">J136-M136</f>
        <v>5</v>
      </c>
      <c r="K137" s="4">
        <v>-39.0</v>
      </c>
      <c r="L137" s="4">
        <v>-49.0</v>
      </c>
      <c r="M137" s="4">
        <v>-10.0</v>
      </c>
      <c r="N137" s="4" t="s">
        <v>44</v>
      </c>
      <c r="O137" s="4">
        <f t="shared" si="1"/>
        <v>15</v>
      </c>
      <c r="P137" s="6">
        <v>3.128795</v>
      </c>
      <c r="Q137" s="6">
        <v>2.214382</v>
      </c>
      <c r="R137" s="6">
        <v>-0.91441</v>
      </c>
      <c r="S137" s="4" t="s">
        <v>23</v>
      </c>
      <c r="T137" s="4" t="s">
        <v>23</v>
      </c>
      <c r="U137" s="4" t="s">
        <v>23</v>
      </c>
      <c r="V137" s="4"/>
      <c r="W137" s="4"/>
      <c r="X137" s="4"/>
      <c r="Y137" s="4"/>
      <c r="Z137" s="4"/>
      <c r="AA137" s="4"/>
      <c r="AB137" s="4"/>
      <c r="AC137" s="4"/>
      <c r="AD137" s="4"/>
    </row>
    <row r="138" ht="14.25" customHeight="1">
      <c r="A138" s="4" t="s">
        <v>112</v>
      </c>
      <c r="B138" s="4" t="s">
        <v>22</v>
      </c>
      <c r="C138" s="4">
        <v>15.0</v>
      </c>
      <c r="D138" s="4" t="s">
        <v>41</v>
      </c>
      <c r="E138" s="4" t="s">
        <v>22</v>
      </c>
      <c r="F138" s="4">
        <v>11.0</v>
      </c>
      <c r="G138" s="4" t="s">
        <v>77</v>
      </c>
      <c r="H138" s="4" t="s">
        <v>43</v>
      </c>
      <c r="I138" s="4" t="s">
        <v>47</v>
      </c>
      <c r="J138" s="4">
        <f t="shared" si="25"/>
        <v>15</v>
      </c>
      <c r="K138" s="4">
        <v>-49.0</v>
      </c>
      <c r="L138" s="4">
        <v>0.0</v>
      </c>
      <c r="M138" s="4">
        <v>49.0</v>
      </c>
      <c r="N138" s="4" t="s">
        <v>32</v>
      </c>
      <c r="O138" s="4" t="str">
        <f t="shared" si="1"/>
        <v/>
      </c>
      <c r="P138" s="6">
        <v>2.214382</v>
      </c>
      <c r="Q138" s="6">
        <v>7.0</v>
      </c>
      <c r="R138" s="6">
        <v>4.785618</v>
      </c>
      <c r="S138" s="4" t="s">
        <v>23</v>
      </c>
      <c r="T138" s="4" t="s">
        <v>23</v>
      </c>
      <c r="U138" s="4" t="s">
        <v>23</v>
      </c>
      <c r="V138" s="4"/>
      <c r="W138" s="4"/>
      <c r="X138" s="4"/>
      <c r="Y138" s="4"/>
      <c r="Z138" s="4"/>
      <c r="AA138" s="4"/>
      <c r="AB138" s="4"/>
      <c r="AC138" s="4"/>
      <c r="AD138" s="4"/>
    </row>
    <row r="139" ht="14.25" customHeight="1">
      <c r="A139" s="4" t="s">
        <v>112</v>
      </c>
      <c r="B139" s="4" t="s">
        <v>22</v>
      </c>
      <c r="C139" s="4">
        <v>15.0</v>
      </c>
      <c r="D139" s="4" t="s">
        <v>41</v>
      </c>
      <c r="E139" s="4" t="s">
        <v>22</v>
      </c>
      <c r="F139" s="4">
        <v>4.0</v>
      </c>
      <c r="G139" s="4" t="s">
        <v>42</v>
      </c>
      <c r="H139" s="4" t="s">
        <v>113</v>
      </c>
      <c r="I139" s="4" t="s">
        <v>23</v>
      </c>
      <c r="J139" s="4"/>
      <c r="K139" s="4">
        <v>-3.0</v>
      </c>
      <c r="L139" s="4">
        <v>0.0</v>
      </c>
      <c r="M139" s="4">
        <v>3.0</v>
      </c>
      <c r="N139" s="4" t="s">
        <v>114</v>
      </c>
      <c r="O139" s="4" t="str">
        <f t="shared" si="1"/>
        <v/>
      </c>
      <c r="P139" s="8"/>
      <c r="Q139" s="8"/>
      <c r="R139" s="6">
        <v>0.0</v>
      </c>
      <c r="S139" s="4" t="s">
        <v>23</v>
      </c>
      <c r="T139" s="4" t="s">
        <v>23</v>
      </c>
      <c r="U139" s="4" t="s">
        <v>23</v>
      </c>
      <c r="V139" s="4"/>
      <c r="W139" s="4"/>
      <c r="X139" s="4"/>
      <c r="Y139" s="4"/>
      <c r="Z139" s="4"/>
      <c r="AA139" s="4"/>
      <c r="AB139" s="4"/>
      <c r="AC139" s="4"/>
      <c r="AD139" s="4"/>
    </row>
    <row r="140" ht="14.25" customHeight="1">
      <c r="A140" s="4" t="s">
        <v>112</v>
      </c>
      <c r="B140" s="4" t="s">
        <v>22</v>
      </c>
      <c r="C140" s="4" t="s">
        <v>23</v>
      </c>
      <c r="D140" s="4" t="s">
        <v>23</v>
      </c>
      <c r="E140" s="4" t="s">
        <v>22</v>
      </c>
      <c r="F140" s="4">
        <v>28.0</v>
      </c>
      <c r="G140" s="4" t="s">
        <v>24</v>
      </c>
      <c r="H140" s="4" t="s">
        <v>25</v>
      </c>
      <c r="I140" s="4" t="s">
        <v>23</v>
      </c>
      <c r="J140" s="4"/>
      <c r="K140" s="4">
        <v>35.0</v>
      </c>
      <c r="L140" s="4">
        <v>-5.0</v>
      </c>
      <c r="M140" s="4">
        <v>60.0</v>
      </c>
      <c r="N140" s="4" t="s">
        <v>36</v>
      </c>
      <c r="O140" s="4" t="str">
        <f t="shared" si="1"/>
        <v/>
      </c>
      <c r="P140" s="8"/>
      <c r="Q140" s="8"/>
      <c r="R140" s="6">
        <v>0.0</v>
      </c>
      <c r="S140" s="4" t="s">
        <v>23</v>
      </c>
      <c r="T140" s="4" t="s">
        <v>23</v>
      </c>
      <c r="U140" s="4" t="s">
        <v>23</v>
      </c>
      <c r="V140" s="4"/>
      <c r="W140" s="4"/>
      <c r="X140" s="4"/>
      <c r="Y140" s="4"/>
      <c r="Z140" s="4"/>
      <c r="AA140" s="4"/>
      <c r="AB140" s="4"/>
      <c r="AC140" s="4"/>
      <c r="AD140" s="4"/>
    </row>
    <row r="141" ht="14.25" customHeight="1">
      <c r="A141" s="4" t="s">
        <v>112</v>
      </c>
      <c r="B141" s="4" t="s">
        <v>27</v>
      </c>
      <c r="C141" s="4" t="s">
        <v>23</v>
      </c>
      <c r="D141" s="4" t="s">
        <v>23</v>
      </c>
      <c r="E141" s="4" t="s">
        <v>27</v>
      </c>
      <c r="F141" s="4">
        <v>20.0</v>
      </c>
      <c r="G141" s="4" t="s">
        <v>65</v>
      </c>
      <c r="H141" s="4" t="s">
        <v>38</v>
      </c>
      <c r="I141" s="4" t="s">
        <v>23</v>
      </c>
      <c r="J141" s="4"/>
      <c r="K141" s="4">
        <v>5.0</v>
      </c>
      <c r="L141" s="4">
        <v>22.0</v>
      </c>
      <c r="M141" s="4">
        <v>17.0</v>
      </c>
      <c r="N141" s="4" t="s">
        <v>39</v>
      </c>
      <c r="O141" s="4">
        <f t="shared" si="1"/>
        <v>10</v>
      </c>
      <c r="P141" s="5">
        <v>0.0</v>
      </c>
      <c r="Q141" s="6">
        <v>0.649215</v>
      </c>
      <c r="R141" s="6">
        <f>Q141-P141</f>
        <v>0.649215</v>
      </c>
      <c r="S141" s="4">
        <v>46.0</v>
      </c>
      <c r="T141" s="4" t="s">
        <v>22</v>
      </c>
      <c r="U141" s="4" t="s">
        <v>23</v>
      </c>
      <c r="V141" s="4"/>
      <c r="W141" s="4"/>
      <c r="X141" s="4"/>
      <c r="Y141" s="4"/>
      <c r="Z141" s="4"/>
      <c r="AA141" s="4"/>
      <c r="AB141" s="4"/>
      <c r="AC141" s="4"/>
      <c r="AD141" s="4"/>
    </row>
    <row r="142" ht="14.25" customHeight="1">
      <c r="A142" s="4" t="s">
        <v>112</v>
      </c>
      <c r="B142" s="4" t="s">
        <v>27</v>
      </c>
      <c r="C142" s="4">
        <v>10.0</v>
      </c>
      <c r="D142" s="4" t="s">
        <v>28</v>
      </c>
      <c r="E142" s="4" t="s">
        <v>27</v>
      </c>
      <c r="F142" s="4">
        <v>10.0</v>
      </c>
      <c r="G142" s="4" t="s">
        <v>28</v>
      </c>
      <c r="H142" s="4" t="s">
        <v>30</v>
      </c>
      <c r="I142" s="4" t="s">
        <v>31</v>
      </c>
      <c r="J142" s="7">
        <v>10.0</v>
      </c>
      <c r="K142" s="4">
        <v>22.0</v>
      </c>
      <c r="L142" s="4">
        <v>23.0</v>
      </c>
      <c r="M142" s="4">
        <v>1.0</v>
      </c>
      <c r="N142" s="4" t="s">
        <v>44</v>
      </c>
      <c r="O142" s="4">
        <f t="shared" si="1"/>
        <v>9</v>
      </c>
      <c r="P142" s="6">
        <v>0.649215</v>
      </c>
      <c r="Q142" s="6">
        <v>0.124076</v>
      </c>
      <c r="R142" s="6">
        <v>-0.52514</v>
      </c>
      <c r="S142" s="4">
        <v>29.0</v>
      </c>
      <c r="T142" s="4" t="s">
        <v>22</v>
      </c>
      <c r="U142" s="4" t="s">
        <v>63</v>
      </c>
      <c r="V142" s="4"/>
      <c r="W142" s="4"/>
      <c r="X142" s="4"/>
      <c r="Y142" s="4"/>
      <c r="Z142" s="4"/>
      <c r="AA142" s="4"/>
      <c r="AB142" s="4"/>
      <c r="AC142" s="4"/>
      <c r="AD142" s="4"/>
    </row>
    <row r="143" ht="14.25" customHeight="1">
      <c r="A143" s="4" t="s">
        <v>112</v>
      </c>
      <c r="B143" s="4" t="s">
        <v>27</v>
      </c>
      <c r="C143" s="4">
        <v>10.0</v>
      </c>
      <c r="D143" s="4" t="s">
        <v>28</v>
      </c>
      <c r="E143" s="4" t="s">
        <v>27</v>
      </c>
      <c r="F143" s="4">
        <v>31.0</v>
      </c>
      <c r="G143" s="4" t="s">
        <v>29</v>
      </c>
      <c r="H143" s="4" t="s">
        <v>30</v>
      </c>
      <c r="I143" s="4" t="s">
        <v>47</v>
      </c>
      <c r="J143" s="4">
        <f>J142-M142</f>
        <v>9</v>
      </c>
      <c r="K143" s="4">
        <v>23.0</v>
      </c>
      <c r="L143" s="4">
        <v>34.0</v>
      </c>
      <c r="M143" s="4">
        <v>11.0</v>
      </c>
      <c r="N143" s="4" t="s">
        <v>39</v>
      </c>
      <c r="O143" s="4">
        <f t="shared" si="1"/>
        <v>10</v>
      </c>
      <c r="P143" s="6">
        <v>0.124076</v>
      </c>
      <c r="Q143" s="6">
        <v>1.61706</v>
      </c>
      <c r="R143" s="6">
        <v>1.492984</v>
      </c>
      <c r="S143" s="4">
        <v>27.0</v>
      </c>
      <c r="T143" s="4" t="s">
        <v>22</v>
      </c>
      <c r="U143" s="4" t="s">
        <v>67</v>
      </c>
      <c r="V143" s="4"/>
      <c r="W143" s="4"/>
      <c r="X143" s="4"/>
      <c r="Y143" s="4"/>
      <c r="Z143" s="4"/>
      <c r="AA143" s="4"/>
      <c r="AB143" s="4"/>
      <c r="AC143" s="4"/>
      <c r="AD143" s="4"/>
    </row>
    <row r="144" ht="14.25" customHeight="1">
      <c r="A144" s="4" t="s">
        <v>112</v>
      </c>
      <c r="B144" s="4" t="s">
        <v>27</v>
      </c>
      <c r="C144" s="4">
        <v>10.0</v>
      </c>
      <c r="D144" s="4" t="s">
        <v>28</v>
      </c>
      <c r="E144" s="4" t="s">
        <v>27</v>
      </c>
      <c r="F144" s="4">
        <v>10.0</v>
      </c>
      <c r="G144" s="4" t="s">
        <v>28</v>
      </c>
      <c r="H144" s="4" t="s">
        <v>30</v>
      </c>
      <c r="I144" s="4" t="s">
        <v>31</v>
      </c>
      <c r="J144" s="7">
        <v>10.0</v>
      </c>
      <c r="K144" s="4">
        <v>34.0</v>
      </c>
      <c r="L144" s="4">
        <v>37.0</v>
      </c>
      <c r="M144" s="4">
        <v>3.0</v>
      </c>
      <c r="N144" s="4" t="s">
        <v>44</v>
      </c>
      <c r="O144" s="4">
        <f t="shared" si="1"/>
        <v>7</v>
      </c>
      <c r="P144" s="6">
        <v>1.61706</v>
      </c>
      <c r="Q144" s="6">
        <v>1.45628</v>
      </c>
      <c r="R144" s="6">
        <v>-0.16078</v>
      </c>
      <c r="S144" s="4">
        <v>10.0</v>
      </c>
      <c r="T144" s="4" t="s">
        <v>22</v>
      </c>
      <c r="U144" s="4" t="s">
        <v>80</v>
      </c>
      <c r="V144" s="4"/>
      <c r="W144" s="4"/>
      <c r="X144" s="4"/>
      <c r="Y144" s="4"/>
      <c r="Z144" s="4"/>
      <c r="AA144" s="4"/>
      <c r="AB144" s="4"/>
      <c r="AC144" s="4"/>
      <c r="AD144" s="4"/>
    </row>
    <row r="145" ht="14.25" customHeight="1">
      <c r="A145" s="4" t="s">
        <v>112</v>
      </c>
      <c r="B145" s="4" t="s">
        <v>27</v>
      </c>
      <c r="C145" s="4">
        <v>31.0</v>
      </c>
      <c r="D145" s="4" t="s">
        <v>29</v>
      </c>
      <c r="E145" s="4" t="s">
        <v>27</v>
      </c>
      <c r="F145" s="4">
        <v>31.0</v>
      </c>
      <c r="G145" s="4" t="s">
        <v>29</v>
      </c>
      <c r="H145" s="4" t="s">
        <v>30</v>
      </c>
      <c r="I145" s="4" t="s">
        <v>47</v>
      </c>
      <c r="J145" s="4">
        <f>J144-M144</f>
        <v>7</v>
      </c>
      <c r="K145" s="4">
        <v>37.0</v>
      </c>
      <c r="L145" s="4">
        <v>48.0</v>
      </c>
      <c r="M145" s="4">
        <v>11.0</v>
      </c>
      <c r="N145" s="4" t="s">
        <v>39</v>
      </c>
      <c r="O145" s="4">
        <f t="shared" si="1"/>
        <v>10</v>
      </c>
      <c r="P145" s="6">
        <v>1.45628</v>
      </c>
      <c r="Q145" s="6">
        <v>2.59181</v>
      </c>
      <c r="R145" s="6">
        <v>1.13553</v>
      </c>
      <c r="S145" s="4">
        <v>6.0</v>
      </c>
      <c r="T145" s="4" t="s">
        <v>22</v>
      </c>
      <c r="U145" s="4" t="s">
        <v>115</v>
      </c>
      <c r="V145" s="4"/>
      <c r="W145" s="4"/>
      <c r="X145" s="4"/>
      <c r="Y145" s="4"/>
      <c r="Z145" s="4"/>
      <c r="AA145" s="4"/>
      <c r="AB145" s="4"/>
      <c r="AC145" s="4"/>
      <c r="AD145" s="4"/>
    </row>
    <row r="146" ht="14.25" customHeight="1">
      <c r="A146" s="4" t="s">
        <v>112</v>
      </c>
      <c r="B146" s="4" t="s">
        <v>27</v>
      </c>
      <c r="C146" s="4">
        <v>10.0</v>
      </c>
      <c r="D146" s="4" t="s">
        <v>28</v>
      </c>
      <c r="E146" s="4" t="s">
        <v>27</v>
      </c>
      <c r="F146" s="4">
        <v>20.0</v>
      </c>
      <c r="G146" s="4" t="s">
        <v>65</v>
      </c>
      <c r="H146" s="4" t="s">
        <v>30</v>
      </c>
      <c r="I146" s="4" t="s">
        <v>31</v>
      </c>
      <c r="J146" s="7">
        <v>10.0</v>
      </c>
      <c r="K146" s="4">
        <v>48.0</v>
      </c>
      <c r="L146" s="4">
        <v>-49.0</v>
      </c>
      <c r="M146" s="4">
        <v>3.0</v>
      </c>
      <c r="N146" s="4" t="s">
        <v>44</v>
      </c>
      <c r="O146" s="4">
        <f t="shared" si="1"/>
        <v>7</v>
      </c>
      <c r="P146" s="6">
        <v>2.59181</v>
      </c>
      <c r="Q146" s="6">
        <v>2.438993</v>
      </c>
      <c r="R146" s="6">
        <v>-0.15282</v>
      </c>
      <c r="S146" s="4">
        <v>66.0</v>
      </c>
      <c r="T146" s="4" t="s">
        <v>22</v>
      </c>
      <c r="U146" s="4" t="s">
        <v>23</v>
      </c>
      <c r="V146" s="4"/>
      <c r="W146" s="4"/>
      <c r="X146" s="4"/>
      <c r="Y146" s="4"/>
      <c r="Z146" s="4"/>
      <c r="AA146" s="4"/>
      <c r="AB146" s="4"/>
      <c r="AC146" s="4"/>
      <c r="AD146" s="4"/>
    </row>
    <row r="147" ht="14.25" customHeight="1">
      <c r="A147" s="4" t="s">
        <v>112</v>
      </c>
      <c r="B147" s="4" t="s">
        <v>27</v>
      </c>
      <c r="C147" s="4">
        <v>10.0</v>
      </c>
      <c r="D147" s="4" t="s">
        <v>28</v>
      </c>
      <c r="E147" s="4" t="s">
        <v>27</v>
      </c>
      <c r="F147" s="4">
        <v>26.0</v>
      </c>
      <c r="G147" s="4" t="s">
        <v>116</v>
      </c>
      <c r="H147" s="4" t="s">
        <v>30</v>
      </c>
      <c r="I147" s="4" t="s">
        <v>47</v>
      </c>
      <c r="J147" s="4">
        <f t="shared" ref="J147:J150" si="26">J146-M146</f>
        <v>7</v>
      </c>
      <c r="K147" s="4">
        <v>-49.0</v>
      </c>
      <c r="L147" s="4">
        <v>-44.0</v>
      </c>
      <c r="M147" s="4">
        <v>5.0</v>
      </c>
      <c r="N147" s="4" t="s">
        <v>51</v>
      </c>
      <c r="O147" s="4">
        <f t="shared" si="1"/>
        <v>2</v>
      </c>
      <c r="P147" s="6">
        <v>2.438993</v>
      </c>
      <c r="Q147" s="6">
        <v>2.548495</v>
      </c>
      <c r="R147" s="6">
        <v>0.109502</v>
      </c>
      <c r="S147" s="4">
        <v>2.0</v>
      </c>
      <c r="T147" s="4" t="s">
        <v>22</v>
      </c>
      <c r="U147" s="4" t="s">
        <v>66</v>
      </c>
      <c r="V147" s="4"/>
      <c r="W147" s="4"/>
      <c r="X147" s="4"/>
      <c r="Y147" s="4"/>
      <c r="Z147" s="4"/>
      <c r="AA147" s="4"/>
      <c r="AB147" s="4"/>
      <c r="AC147" s="4"/>
      <c r="AD147" s="4"/>
    </row>
    <row r="148" ht="14.25" customHeight="1">
      <c r="A148" s="4" t="s">
        <v>112</v>
      </c>
      <c r="B148" s="4" t="s">
        <v>27</v>
      </c>
      <c r="C148" s="4" t="s">
        <v>23</v>
      </c>
      <c r="D148" s="4" t="s">
        <v>23</v>
      </c>
      <c r="E148" s="4" t="s">
        <v>27</v>
      </c>
      <c r="F148" s="4" t="s">
        <v>23</v>
      </c>
      <c r="G148" s="4" t="s">
        <v>23</v>
      </c>
      <c r="H148" s="4" t="s">
        <v>74</v>
      </c>
      <c r="I148" s="4" t="s">
        <v>55</v>
      </c>
      <c r="J148" s="4">
        <f t="shared" si="26"/>
        <v>2</v>
      </c>
      <c r="K148" s="4">
        <v>-44.0</v>
      </c>
      <c r="L148" s="4">
        <v>-49.0</v>
      </c>
      <c r="M148" s="4">
        <v>-5.0</v>
      </c>
      <c r="N148" s="4" t="s">
        <v>51</v>
      </c>
      <c r="O148" s="4">
        <f t="shared" si="1"/>
        <v>7</v>
      </c>
      <c r="P148" s="6">
        <v>2.548495</v>
      </c>
      <c r="Q148" s="6">
        <v>1.68375</v>
      </c>
      <c r="R148" s="6">
        <v>-0.86474</v>
      </c>
      <c r="S148" s="4" t="s">
        <v>23</v>
      </c>
      <c r="T148" s="4" t="s">
        <v>23</v>
      </c>
      <c r="U148" s="4" t="s">
        <v>23</v>
      </c>
      <c r="V148" s="4"/>
      <c r="W148" s="4"/>
      <c r="X148" s="4"/>
      <c r="Y148" s="4"/>
      <c r="Z148" s="4"/>
      <c r="AA148" s="4"/>
      <c r="AB148" s="4"/>
      <c r="AC148" s="4"/>
      <c r="AD148" s="4"/>
    </row>
    <row r="149" ht="14.25" customHeight="1">
      <c r="A149" s="4" t="s">
        <v>112</v>
      </c>
      <c r="B149" s="4" t="s">
        <v>27</v>
      </c>
      <c r="C149" s="4">
        <v>10.0</v>
      </c>
      <c r="D149" s="4" t="s">
        <v>28</v>
      </c>
      <c r="E149" s="4" t="s">
        <v>22</v>
      </c>
      <c r="F149" s="4">
        <v>7.0</v>
      </c>
      <c r="G149" s="4" t="s">
        <v>117</v>
      </c>
      <c r="H149" s="4" t="s">
        <v>54</v>
      </c>
      <c r="I149" s="4" t="s">
        <v>55</v>
      </c>
      <c r="J149" s="4">
        <f t="shared" si="26"/>
        <v>7</v>
      </c>
      <c r="K149" s="4">
        <v>-49.0</v>
      </c>
      <c r="L149" s="4">
        <v>49.0</v>
      </c>
      <c r="M149" s="4">
        <v>-2.0</v>
      </c>
      <c r="N149" s="4" t="s">
        <v>56</v>
      </c>
      <c r="O149" s="4">
        <f t="shared" si="1"/>
        <v>9</v>
      </c>
      <c r="P149" s="6">
        <v>1.68375</v>
      </c>
      <c r="Q149" s="6">
        <v>-0.00828</v>
      </c>
      <c r="R149" s="6">
        <v>-1.69203</v>
      </c>
      <c r="S149" s="4" t="s">
        <v>23</v>
      </c>
      <c r="T149" s="4" t="s">
        <v>23</v>
      </c>
      <c r="U149" s="4" t="s">
        <v>23</v>
      </c>
      <c r="V149" s="4"/>
      <c r="W149" s="4"/>
      <c r="X149" s="4"/>
      <c r="Y149" s="4"/>
      <c r="Z149" s="4"/>
      <c r="AA149" s="4"/>
      <c r="AB149" s="4"/>
      <c r="AC149" s="4"/>
      <c r="AD149" s="4"/>
    </row>
    <row r="150" ht="14.25" customHeight="1">
      <c r="A150" s="4" t="s">
        <v>112</v>
      </c>
      <c r="B150" s="4" t="s">
        <v>27</v>
      </c>
      <c r="C150" s="4">
        <v>8.0</v>
      </c>
      <c r="D150" s="4" t="s">
        <v>83</v>
      </c>
      <c r="E150" s="4" t="s">
        <v>27</v>
      </c>
      <c r="F150" s="4">
        <v>8.0</v>
      </c>
      <c r="G150" s="4" t="s">
        <v>83</v>
      </c>
      <c r="H150" s="4" t="s">
        <v>30</v>
      </c>
      <c r="I150" s="4" t="s">
        <v>59</v>
      </c>
      <c r="J150" s="4">
        <f t="shared" si="26"/>
        <v>9</v>
      </c>
      <c r="K150" s="4">
        <v>49.0</v>
      </c>
      <c r="L150" s="4">
        <v>-45.0</v>
      </c>
      <c r="M150" s="4">
        <v>6.0</v>
      </c>
      <c r="N150" s="4" t="s">
        <v>108</v>
      </c>
      <c r="O150" s="4">
        <f t="shared" si="1"/>
        <v>10</v>
      </c>
      <c r="P150" s="6">
        <v>-0.00828</v>
      </c>
      <c r="Q150" s="6">
        <v>-2.387414</v>
      </c>
      <c r="R150" s="6">
        <f>Q150-P150</f>
        <v>-2.379134</v>
      </c>
      <c r="S150" s="4">
        <v>48.0</v>
      </c>
      <c r="T150" s="4" t="s">
        <v>22</v>
      </c>
      <c r="U150" s="4" t="s">
        <v>118</v>
      </c>
      <c r="V150" s="4"/>
      <c r="W150" s="4"/>
      <c r="X150" s="4"/>
      <c r="Y150" s="4"/>
      <c r="Z150" s="4"/>
      <c r="AA150" s="4"/>
      <c r="AB150" s="4"/>
      <c r="AC150" s="4"/>
      <c r="AD150" s="4"/>
    </row>
    <row r="151" ht="14.25" customHeight="1">
      <c r="A151" s="4" t="s">
        <v>112</v>
      </c>
      <c r="B151" s="4" t="s">
        <v>22</v>
      </c>
      <c r="C151" s="4" t="s">
        <v>23</v>
      </c>
      <c r="D151" s="4" t="s">
        <v>23</v>
      </c>
      <c r="E151" s="4" t="s">
        <v>22</v>
      </c>
      <c r="F151" s="4" t="s">
        <v>23</v>
      </c>
      <c r="G151" s="4" t="s">
        <v>23</v>
      </c>
      <c r="H151" s="4" t="s">
        <v>74</v>
      </c>
      <c r="I151" s="4" t="s">
        <v>31</v>
      </c>
      <c r="J151" s="7">
        <v>10.0</v>
      </c>
      <c r="K151" s="4">
        <v>45.0</v>
      </c>
      <c r="L151" s="4">
        <v>40.0</v>
      </c>
      <c r="M151" s="4">
        <v>-5.0</v>
      </c>
      <c r="N151" s="4" t="s">
        <v>39</v>
      </c>
      <c r="O151" s="4">
        <f t="shared" si="1"/>
        <v>15</v>
      </c>
      <c r="P151" s="6">
        <v>2.387414</v>
      </c>
      <c r="Q151" s="6">
        <v>1.889241</v>
      </c>
      <c r="R151" s="6">
        <v>-0.49817</v>
      </c>
      <c r="S151" s="4" t="s">
        <v>23</v>
      </c>
      <c r="T151" s="4" t="s">
        <v>23</v>
      </c>
      <c r="U151" s="4" t="s">
        <v>23</v>
      </c>
      <c r="V151" s="4"/>
      <c r="W151" s="4"/>
      <c r="X151" s="4"/>
      <c r="Y151" s="4"/>
      <c r="Z151" s="4"/>
      <c r="AA151" s="4"/>
      <c r="AB151" s="4"/>
      <c r="AC151" s="4"/>
      <c r="AD151" s="4"/>
    </row>
    <row r="152" ht="14.25" customHeight="1">
      <c r="A152" s="4" t="s">
        <v>112</v>
      </c>
      <c r="B152" s="4" t="s">
        <v>22</v>
      </c>
      <c r="C152" s="4" t="s">
        <v>23</v>
      </c>
      <c r="D152" s="4" t="s">
        <v>23</v>
      </c>
      <c r="E152" s="4" t="s">
        <v>22</v>
      </c>
      <c r="F152" s="4" t="s">
        <v>23</v>
      </c>
      <c r="G152" s="4" t="s">
        <v>23</v>
      </c>
      <c r="H152" s="4" t="s">
        <v>74</v>
      </c>
      <c r="I152" s="4" t="s">
        <v>31</v>
      </c>
      <c r="J152" s="4">
        <f t="shared" ref="J152:J156" si="27">J151-M151</f>
        <v>15</v>
      </c>
      <c r="K152" s="4">
        <v>40.0</v>
      </c>
      <c r="L152" s="4">
        <v>35.0</v>
      </c>
      <c r="M152" s="4">
        <v>-5.0</v>
      </c>
      <c r="N152" s="4" t="s">
        <v>39</v>
      </c>
      <c r="O152" s="4">
        <f t="shared" si="1"/>
        <v>20</v>
      </c>
      <c r="P152" s="6">
        <v>1.889241</v>
      </c>
      <c r="Q152" s="6">
        <v>1.413456</v>
      </c>
      <c r="R152" s="6">
        <v>-0.47578</v>
      </c>
      <c r="S152" s="4" t="s">
        <v>23</v>
      </c>
      <c r="T152" s="4" t="s">
        <v>23</v>
      </c>
      <c r="U152" s="4" t="s">
        <v>23</v>
      </c>
      <c r="V152" s="4"/>
      <c r="W152" s="4"/>
      <c r="X152" s="4"/>
      <c r="Y152" s="4"/>
      <c r="Z152" s="4"/>
      <c r="AA152" s="4"/>
      <c r="AB152" s="4"/>
      <c r="AC152" s="4"/>
      <c r="AD152" s="4"/>
    </row>
    <row r="153" ht="14.25" customHeight="1">
      <c r="A153" s="4" t="s">
        <v>112</v>
      </c>
      <c r="B153" s="4" t="s">
        <v>22</v>
      </c>
      <c r="C153" s="4">
        <v>15.0</v>
      </c>
      <c r="D153" s="4" t="s">
        <v>41</v>
      </c>
      <c r="E153" s="4" t="s">
        <v>22</v>
      </c>
      <c r="F153" s="4">
        <v>4.0</v>
      </c>
      <c r="G153" s="4" t="s">
        <v>42</v>
      </c>
      <c r="H153" s="4" t="s">
        <v>82</v>
      </c>
      <c r="I153" s="4" t="s">
        <v>31</v>
      </c>
      <c r="J153" s="4">
        <f t="shared" si="27"/>
        <v>20</v>
      </c>
      <c r="K153" s="4">
        <v>35.0</v>
      </c>
      <c r="L153" s="4">
        <v>35.0</v>
      </c>
      <c r="M153" s="4">
        <v>0.0</v>
      </c>
      <c r="N153" s="4" t="s">
        <v>44</v>
      </c>
      <c r="O153" s="4">
        <f t="shared" si="1"/>
        <v>20</v>
      </c>
      <c r="P153" s="6">
        <v>1.413456</v>
      </c>
      <c r="Q153" s="6">
        <v>0.799963</v>
      </c>
      <c r="R153" s="6">
        <v>-0.61349</v>
      </c>
      <c r="S153" s="4" t="s">
        <v>23</v>
      </c>
      <c r="T153" s="4" t="s">
        <v>23</v>
      </c>
      <c r="U153" s="4" t="s">
        <v>23</v>
      </c>
      <c r="V153" s="4"/>
      <c r="W153" s="4"/>
      <c r="X153" s="4"/>
      <c r="Y153" s="4"/>
      <c r="Z153" s="4"/>
      <c r="AA153" s="4"/>
      <c r="AB153" s="4"/>
      <c r="AC153" s="4"/>
      <c r="AD153" s="4"/>
    </row>
    <row r="154" ht="14.25" customHeight="1">
      <c r="A154" s="4" t="s">
        <v>112</v>
      </c>
      <c r="B154" s="4" t="s">
        <v>22</v>
      </c>
      <c r="C154" s="4">
        <v>15.0</v>
      </c>
      <c r="D154" s="4" t="s">
        <v>41</v>
      </c>
      <c r="E154" s="4" t="s">
        <v>22</v>
      </c>
      <c r="F154" s="4">
        <v>15.0</v>
      </c>
      <c r="G154" s="4" t="s">
        <v>41</v>
      </c>
      <c r="H154" s="4" t="s">
        <v>30</v>
      </c>
      <c r="I154" s="4" t="s">
        <v>47</v>
      </c>
      <c r="J154" s="4">
        <f t="shared" si="27"/>
        <v>20</v>
      </c>
      <c r="K154" s="4">
        <v>35.0</v>
      </c>
      <c r="L154" s="4">
        <v>47.0</v>
      </c>
      <c r="M154" s="4">
        <v>12.0</v>
      </c>
      <c r="N154" s="4" t="s">
        <v>51</v>
      </c>
      <c r="O154" s="4">
        <f t="shared" si="1"/>
        <v>8</v>
      </c>
      <c r="P154" s="6">
        <v>0.799963</v>
      </c>
      <c r="Q154" s="6">
        <v>1.345909</v>
      </c>
      <c r="R154" s="6">
        <v>0.545945</v>
      </c>
      <c r="S154" s="4">
        <v>43.0</v>
      </c>
      <c r="T154" s="4" t="s">
        <v>27</v>
      </c>
      <c r="U154" s="4" t="s">
        <v>119</v>
      </c>
      <c r="V154" s="4"/>
      <c r="W154" s="4"/>
      <c r="X154" s="4"/>
      <c r="Y154" s="4"/>
      <c r="Z154" s="4"/>
      <c r="AA154" s="4"/>
      <c r="AB154" s="4"/>
      <c r="AC154" s="4"/>
      <c r="AD154" s="4"/>
    </row>
    <row r="155" ht="14.25" customHeight="1">
      <c r="A155" s="4" t="s">
        <v>112</v>
      </c>
      <c r="B155" s="4" t="s">
        <v>22</v>
      </c>
      <c r="C155" s="4">
        <v>15.0</v>
      </c>
      <c r="D155" s="4" t="s">
        <v>41</v>
      </c>
      <c r="E155" s="4" t="s">
        <v>27</v>
      </c>
      <c r="F155" s="4">
        <v>35.0</v>
      </c>
      <c r="G155" s="4" t="s">
        <v>45</v>
      </c>
      <c r="H155" s="4" t="s">
        <v>54</v>
      </c>
      <c r="I155" s="4" t="s">
        <v>55</v>
      </c>
      <c r="J155" s="4">
        <f t="shared" si="27"/>
        <v>8</v>
      </c>
      <c r="K155" s="4">
        <v>47.0</v>
      </c>
      <c r="L155" s="4">
        <v>43.0</v>
      </c>
      <c r="M155" s="4">
        <v>-4.0</v>
      </c>
      <c r="N155" s="4" t="s">
        <v>56</v>
      </c>
      <c r="O155" s="4">
        <f t="shared" si="1"/>
        <v>12</v>
      </c>
      <c r="P155" s="6">
        <v>1.345909</v>
      </c>
      <c r="Q155" s="6">
        <v>-0.56666</v>
      </c>
      <c r="R155" s="6">
        <v>-1.91257</v>
      </c>
      <c r="S155" s="4" t="s">
        <v>23</v>
      </c>
      <c r="T155" s="4" t="s">
        <v>23</v>
      </c>
      <c r="U155" s="4" t="s">
        <v>23</v>
      </c>
      <c r="V155" s="4"/>
      <c r="W155" s="4"/>
      <c r="X155" s="4"/>
      <c r="Y155" s="4"/>
      <c r="Z155" s="4"/>
      <c r="AA155" s="4"/>
      <c r="AB155" s="4"/>
      <c r="AC155" s="4"/>
      <c r="AD155" s="4"/>
    </row>
    <row r="156" ht="14.25" customHeight="1">
      <c r="A156" s="4" t="s">
        <v>112</v>
      </c>
      <c r="B156" s="4" t="s">
        <v>22</v>
      </c>
      <c r="C156" s="4">
        <v>15.0</v>
      </c>
      <c r="D156" s="4" t="s">
        <v>41</v>
      </c>
      <c r="E156" s="4" t="s">
        <v>22</v>
      </c>
      <c r="F156" s="4">
        <v>11.0</v>
      </c>
      <c r="G156" s="4" t="s">
        <v>77</v>
      </c>
      <c r="H156" s="4" t="s">
        <v>43</v>
      </c>
      <c r="I156" s="4" t="s">
        <v>59</v>
      </c>
      <c r="J156" s="4">
        <f t="shared" si="27"/>
        <v>12</v>
      </c>
      <c r="K156" s="4">
        <v>43.0</v>
      </c>
      <c r="L156" s="4">
        <v>0.0</v>
      </c>
      <c r="M156" s="4">
        <v>57.0</v>
      </c>
      <c r="N156" s="4" t="s">
        <v>32</v>
      </c>
      <c r="O156" s="4" t="str">
        <f t="shared" si="1"/>
        <v/>
      </c>
      <c r="P156" s="6">
        <v>-0.56666</v>
      </c>
      <c r="Q156" s="6">
        <v>7.0</v>
      </c>
      <c r="R156" s="6">
        <v>7.566657</v>
      </c>
      <c r="S156" s="4" t="s">
        <v>23</v>
      </c>
      <c r="T156" s="4" t="s">
        <v>23</v>
      </c>
      <c r="U156" s="4" t="s">
        <v>23</v>
      </c>
      <c r="V156" s="4"/>
      <c r="W156" s="4"/>
      <c r="X156" s="4"/>
      <c r="Y156" s="4"/>
      <c r="Z156" s="4"/>
      <c r="AA156" s="4"/>
      <c r="AB156" s="4"/>
      <c r="AC156" s="4"/>
      <c r="AD156" s="4"/>
    </row>
    <row r="157" ht="14.25" customHeight="1">
      <c r="A157" s="4" t="s">
        <v>112</v>
      </c>
      <c r="B157" s="4" t="s">
        <v>22</v>
      </c>
      <c r="C157" s="4" t="s">
        <v>23</v>
      </c>
      <c r="D157" s="4" t="s">
        <v>23</v>
      </c>
      <c r="E157" s="4" t="s">
        <v>22</v>
      </c>
      <c r="F157" s="4">
        <v>28.0</v>
      </c>
      <c r="G157" s="4" t="s">
        <v>24</v>
      </c>
      <c r="H157" s="4" t="s">
        <v>34</v>
      </c>
      <c r="I157" s="4" t="s">
        <v>23</v>
      </c>
      <c r="J157" s="4"/>
      <c r="K157" s="4">
        <v>-10.0</v>
      </c>
      <c r="L157" s="4">
        <v>0.0</v>
      </c>
      <c r="M157" s="4">
        <v>20.0</v>
      </c>
      <c r="N157" s="4" t="s">
        <v>94</v>
      </c>
      <c r="O157" s="4" t="str">
        <f t="shared" si="1"/>
        <v/>
      </c>
      <c r="P157" s="8"/>
      <c r="Q157" s="8"/>
      <c r="R157" s="6">
        <v>0.0</v>
      </c>
      <c r="S157" s="4" t="s">
        <v>23</v>
      </c>
      <c r="T157" s="4" t="s">
        <v>23</v>
      </c>
      <c r="U157" s="4" t="s">
        <v>23</v>
      </c>
      <c r="V157" s="4"/>
      <c r="W157" s="4"/>
      <c r="X157" s="4"/>
      <c r="Y157" s="4"/>
      <c r="Z157" s="4"/>
      <c r="AA157" s="4"/>
      <c r="AB157" s="4"/>
      <c r="AC157" s="4"/>
      <c r="AD157" s="4"/>
    </row>
    <row r="158" ht="14.25" customHeight="1">
      <c r="A158" s="4" t="s">
        <v>112</v>
      </c>
      <c r="B158" s="4" t="s">
        <v>22</v>
      </c>
      <c r="C158" s="4" t="s">
        <v>23</v>
      </c>
      <c r="D158" s="4" t="s">
        <v>23</v>
      </c>
      <c r="E158" s="4" t="s">
        <v>22</v>
      </c>
      <c r="F158" s="4">
        <v>28.0</v>
      </c>
      <c r="G158" s="4" t="s">
        <v>24</v>
      </c>
      <c r="H158" s="4" t="s">
        <v>25</v>
      </c>
      <c r="I158" s="4" t="s">
        <v>23</v>
      </c>
      <c r="J158" s="4"/>
      <c r="K158" s="4">
        <v>35.0</v>
      </c>
      <c r="L158" s="4">
        <v>0.0</v>
      </c>
      <c r="M158" s="4">
        <v>65.0</v>
      </c>
      <c r="N158" s="4" t="s">
        <v>26</v>
      </c>
      <c r="O158" s="4">
        <f t="shared" si="1"/>
        <v>10</v>
      </c>
      <c r="P158" s="5">
        <v>0.0</v>
      </c>
      <c r="Q158" s="6">
        <v>0.884959</v>
      </c>
      <c r="R158" s="6">
        <f>Q158-P158</f>
        <v>0.884959</v>
      </c>
      <c r="S158" s="4" t="s">
        <v>23</v>
      </c>
      <c r="T158" s="4" t="s">
        <v>23</v>
      </c>
      <c r="U158" s="4" t="s">
        <v>23</v>
      </c>
      <c r="V158" s="4"/>
      <c r="W158" s="4"/>
      <c r="X158" s="4"/>
      <c r="Y158" s="4"/>
      <c r="Z158" s="4"/>
      <c r="AA158" s="4"/>
      <c r="AB158" s="4"/>
      <c r="AC158" s="4"/>
      <c r="AD158" s="4"/>
    </row>
    <row r="159" ht="14.25" customHeight="1">
      <c r="A159" s="4" t="s">
        <v>112</v>
      </c>
      <c r="B159" s="4" t="s">
        <v>27</v>
      </c>
      <c r="C159" s="4">
        <v>10.0</v>
      </c>
      <c r="D159" s="4" t="s">
        <v>28</v>
      </c>
      <c r="E159" s="4" t="s">
        <v>27</v>
      </c>
      <c r="F159" s="4">
        <v>31.0</v>
      </c>
      <c r="G159" s="4" t="s">
        <v>29</v>
      </c>
      <c r="H159" s="4" t="s">
        <v>30</v>
      </c>
      <c r="I159" s="4" t="s">
        <v>31</v>
      </c>
      <c r="J159" s="7">
        <v>10.0</v>
      </c>
      <c r="K159" s="4">
        <v>25.0</v>
      </c>
      <c r="L159" s="4">
        <v>28.0</v>
      </c>
      <c r="M159" s="4">
        <v>3.0</v>
      </c>
      <c r="N159" s="4" t="s">
        <v>44</v>
      </c>
      <c r="O159" s="4">
        <f t="shared" si="1"/>
        <v>7</v>
      </c>
      <c r="P159" s="6">
        <v>0.884959</v>
      </c>
      <c r="Q159" s="6">
        <v>0.664532</v>
      </c>
      <c r="R159" s="6">
        <v>-0.22043</v>
      </c>
      <c r="S159" s="4">
        <v>6.0</v>
      </c>
      <c r="T159" s="4" t="s">
        <v>22</v>
      </c>
      <c r="U159" s="4" t="s">
        <v>115</v>
      </c>
      <c r="V159" s="4"/>
      <c r="W159" s="4"/>
      <c r="X159" s="4"/>
      <c r="Y159" s="4"/>
      <c r="Z159" s="4"/>
      <c r="AA159" s="4"/>
      <c r="AB159" s="4"/>
      <c r="AC159" s="4"/>
      <c r="AD159" s="4"/>
    </row>
    <row r="160" ht="14.25" customHeight="1">
      <c r="A160" s="4" t="s">
        <v>112</v>
      </c>
      <c r="B160" s="4" t="s">
        <v>27</v>
      </c>
      <c r="C160" s="4">
        <v>10.0</v>
      </c>
      <c r="D160" s="4" t="s">
        <v>28</v>
      </c>
      <c r="E160" s="4" t="s">
        <v>27</v>
      </c>
      <c r="F160" s="4">
        <v>31.0</v>
      </c>
      <c r="G160" s="4" t="s">
        <v>29</v>
      </c>
      <c r="H160" s="4" t="s">
        <v>30</v>
      </c>
      <c r="I160" s="4" t="s">
        <v>47</v>
      </c>
      <c r="J160" s="4">
        <f t="shared" ref="J160:J162" si="28">J159-M159</f>
        <v>7</v>
      </c>
      <c r="K160" s="4">
        <v>28.0</v>
      </c>
      <c r="L160" s="4">
        <v>31.0</v>
      </c>
      <c r="M160" s="4">
        <v>3.0</v>
      </c>
      <c r="N160" s="4" t="s">
        <v>51</v>
      </c>
      <c r="O160" s="4">
        <f t="shared" si="1"/>
        <v>4</v>
      </c>
      <c r="P160" s="6">
        <v>0.664532</v>
      </c>
      <c r="Q160" s="6">
        <v>0.391952</v>
      </c>
      <c r="R160" s="6">
        <v>-0.27258</v>
      </c>
      <c r="S160" s="4">
        <v>72.0</v>
      </c>
      <c r="T160" s="4" t="s">
        <v>22</v>
      </c>
      <c r="U160" s="4" t="s">
        <v>64</v>
      </c>
      <c r="V160" s="4"/>
      <c r="W160" s="4"/>
      <c r="X160" s="4"/>
      <c r="Y160" s="4"/>
      <c r="Z160" s="4"/>
      <c r="AA160" s="4"/>
      <c r="AB160" s="4"/>
      <c r="AC160" s="4"/>
      <c r="AD160" s="4"/>
    </row>
    <row r="161" ht="14.25" customHeight="1">
      <c r="A161" s="4" t="s">
        <v>112</v>
      </c>
      <c r="B161" s="4" t="s">
        <v>27</v>
      </c>
      <c r="C161" s="4">
        <v>10.0</v>
      </c>
      <c r="D161" s="4" t="s">
        <v>28</v>
      </c>
      <c r="E161" s="4" t="s">
        <v>27</v>
      </c>
      <c r="F161" s="4">
        <v>31.0</v>
      </c>
      <c r="G161" s="4" t="s">
        <v>29</v>
      </c>
      <c r="H161" s="4" t="s">
        <v>30</v>
      </c>
      <c r="I161" s="4" t="s">
        <v>55</v>
      </c>
      <c r="J161" s="4">
        <f t="shared" si="28"/>
        <v>4</v>
      </c>
      <c r="K161" s="4">
        <v>31.0</v>
      </c>
      <c r="L161" s="4">
        <v>31.0</v>
      </c>
      <c r="M161" s="4">
        <v>0.0</v>
      </c>
      <c r="N161" s="4" t="s">
        <v>56</v>
      </c>
      <c r="O161" s="4">
        <f t="shared" si="1"/>
        <v>4</v>
      </c>
      <c r="P161" s="6">
        <v>0.391952</v>
      </c>
      <c r="Q161" s="6">
        <v>-1.17145</v>
      </c>
      <c r="R161" s="6">
        <v>-1.56341</v>
      </c>
      <c r="S161" s="4">
        <v>10.0</v>
      </c>
      <c r="T161" s="4" t="s">
        <v>22</v>
      </c>
      <c r="U161" s="4" t="s">
        <v>80</v>
      </c>
      <c r="V161" s="4"/>
      <c r="W161" s="4"/>
      <c r="X161" s="4"/>
      <c r="Y161" s="4"/>
      <c r="Z161" s="4"/>
      <c r="AA161" s="4"/>
      <c r="AB161" s="4"/>
      <c r="AC161" s="4"/>
      <c r="AD161" s="4"/>
    </row>
    <row r="162" ht="14.25" customHeight="1">
      <c r="A162" s="4" t="s">
        <v>112</v>
      </c>
      <c r="B162" s="4" t="s">
        <v>27</v>
      </c>
      <c r="C162" s="4" t="s">
        <v>23</v>
      </c>
      <c r="D162" s="4" t="s">
        <v>23</v>
      </c>
      <c r="E162" s="4" t="s">
        <v>27</v>
      </c>
      <c r="F162" s="4">
        <v>8.0</v>
      </c>
      <c r="G162" s="4" t="s">
        <v>83</v>
      </c>
      <c r="H162" s="4" t="s">
        <v>58</v>
      </c>
      <c r="I162" s="4" t="s">
        <v>59</v>
      </c>
      <c r="J162" s="4">
        <f t="shared" si="28"/>
        <v>4</v>
      </c>
      <c r="K162" s="4">
        <v>18.0</v>
      </c>
      <c r="L162" s="4">
        <v>-32.0</v>
      </c>
      <c r="M162" s="4">
        <v>50.0</v>
      </c>
      <c r="N162" s="4" t="s">
        <v>60</v>
      </c>
      <c r="O162" s="4" t="str">
        <f t="shared" si="1"/>
        <v/>
      </c>
      <c r="P162" s="6">
        <v>-1.17145</v>
      </c>
      <c r="Q162" s="6">
        <v>-2.539039</v>
      </c>
      <c r="R162" s="6">
        <f>Q162-P162</f>
        <v>-1.367589</v>
      </c>
      <c r="S162" s="4" t="s">
        <v>23</v>
      </c>
      <c r="T162" s="4" t="s">
        <v>23</v>
      </c>
      <c r="U162" s="4" t="s">
        <v>23</v>
      </c>
      <c r="V162" s="4"/>
      <c r="W162" s="4"/>
      <c r="X162" s="4"/>
      <c r="Y162" s="4"/>
      <c r="Z162" s="4"/>
      <c r="AA162" s="4"/>
      <c r="AB162" s="4"/>
      <c r="AC162" s="4"/>
      <c r="AD162" s="4"/>
    </row>
    <row r="163" ht="14.25" customHeight="1">
      <c r="A163" s="4" t="s">
        <v>112</v>
      </c>
      <c r="B163" s="4" t="s">
        <v>22</v>
      </c>
      <c r="C163" s="4" t="s">
        <v>23</v>
      </c>
      <c r="D163" s="4" t="s">
        <v>23</v>
      </c>
      <c r="E163" s="4" t="s">
        <v>27</v>
      </c>
      <c r="F163" s="4" t="s">
        <v>23</v>
      </c>
      <c r="G163" s="4" t="s">
        <v>23</v>
      </c>
      <c r="H163" s="4" t="s">
        <v>98</v>
      </c>
      <c r="I163" s="4" t="s">
        <v>23</v>
      </c>
      <c r="J163" s="4"/>
      <c r="K163" s="4">
        <v>32.0</v>
      </c>
      <c r="L163" s="4">
        <v>47.0</v>
      </c>
      <c r="M163" s="4">
        <v>15.0</v>
      </c>
      <c r="N163" s="4" t="s">
        <v>39</v>
      </c>
      <c r="O163" s="4">
        <f t="shared" si="1"/>
        <v>10</v>
      </c>
      <c r="P163" s="8"/>
      <c r="Q163" s="8"/>
      <c r="R163" s="6">
        <v>0.0</v>
      </c>
      <c r="S163" s="4" t="s">
        <v>23</v>
      </c>
      <c r="T163" s="4" t="s">
        <v>23</v>
      </c>
      <c r="U163" s="4" t="s">
        <v>23</v>
      </c>
      <c r="V163" s="4"/>
      <c r="W163" s="4"/>
      <c r="X163" s="4"/>
      <c r="Y163" s="4"/>
      <c r="Z163" s="4"/>
      <c r="AA163" s="4"/>
      <c r="AB163" s="4"/>
      <c r="AC163" s="4"/>
      <c r="AD163" s="4"/>
    </row>
    <row r="164" ht="14.25" customHeight="1">
      <c r="A164" s="4" t="s">
        <v>112</v>
      </c>
      <c r="B164" s="4" t="s">
        <v>22</v>
      </c>
      <c r="C164" s="4">
        <v>15.0</v>
      </c>
      <c r="D164" s="4" t="s">
        <v>41</v>
      </c>
      <c r="E164" s="4" t="s">
        <v>22</v>
      </c>
      <c r="F164" s="4">
        <v>23.0</v>
      </c>
      <c r="G164" s="4" t="s">
        <v>49</v>
      </c>
      <c r="H164" s="4" t="s">
        <v>43</v>
      </c>
      <c r="I164" s="4" t="s">
        <v>31</v>
      </c>
      <c r="J164" s="7">
        <v>10.0</v>
      </c>
      <c r="K164" s="4">
        <v>47.0</v>
      </c>
      <c r="L164" s="4">
        <v>-44.0</v>
      </c>
      <c r="M164" s="4">
        <v>9.0</v>
      </c>
      <c r="N164" s="4" t="s">
        <v>44</v>
      </c>
      <c r="O164" s="4">
        <f t="shared" si="1"/>
        <v>1</v>
      </c>
      <c r="P164" s="6">
        <v>2.539039</v>
      </c>
      <c r="Q164" s="6">
        <v>3.497478</v>
      </c>
      <c r="R164" s="6">
        <v>0.958439</v>
      </c>
      <c r="S164" s="4" t="s">
        <v>23</v>
      </c>
      <c r="T164" s="4" t="s">
        <v>23</v>
      </c>
      <c r="U164" s="4" t="s">
        <v>23</v>
      </c>
      <c r="V164" s="4"/>
      <c r="W164" s="4"/>
      <c r="X164" s="4"/>
      <c r="Y164" s="4"/>
      <c r="Z164" s="4"/>
      <c r="AA164" s="4"/>
      <c r="AB164" s="4"/>
      <c r="AC164" s="4"/>
      <c r="AD164" s="4"/>
    </row>
    <row r="165" ht="14.25" customHeight="1">
      <c r="A165" s="4" t="s">
        <v>112</v>
      </c>
      <c r="B165" s="4" t="s">
        <v>22</v>
      </c>
      <c r="C165" s="4">
        <v>15.0</v>
      </c>
      <c r="D165" s="4" t="s">
        <v>41</v>
      </c>
      <c r="E165" s="4" t="s">
        <v>22</v>
      </c>
      <c r="F165" s="4">
        <v>23.0</v>
      </c>
      <c r="G165" s="4" t="s">
        <v>49</v>
      </c>
      <c r="H165" s="4" t="s">
        <v>30</v>
      </c>
      <c r="I165" s="4" t="s">
        <v>47</v>
      </c>
      <c r="J165" s="4">
        <f>J164-M164</f>
        <v>1</v>
      </c>
      <c r="K165" s="4">
        <v>-44.0</v>
      </c>
      <c r="L165" s="4">
        <v>-42.0</v>
      </c>
      <c r="M165" s="4">
        <v>2.0</v>
      </c>
      <c r="N165" s="4" t="s">
        <v>39</v>
      </c>
      <c r="O165" s="4">
        <f t="shared" si="1"/>
        <v>10</v>
      </c>
      <c r="P165" s="6">
        <v>3.497478</v>
      </c>
      <c r="Q165" s="6">
        <v>3.158878</v>
      </c>
      <c r="R165" s="6">
        <v>-0.3386</v>
      </c>
      <c r="S165" s="4">
        <v>47.0</v>
      </c>
      <c r="T165" s="4" t="s">
        <v>27</v>
      </c>
      <c r="U165" s="4" t="s">
        <v>48</v>
      </c>
      <c r="V165" s="4"/>
      <c r="W165" s="4"/>
      <c r="X165" s="4"/>
      <c r="Y165" s="4"/>
      <c r="Z165" s="4"/>
      <c r="AA165" s="4"/>
      <c r="AB165" s="4"/>
      <c r="AC165" s="4"/>
      <c r="AD165" s="4"/>
    </row>
    <row r="166" ht="14.25" customHeight="1">
      <c r="A166" s="4" t="s">
        <v>112</v>
      </c>
      <c r="B166" s="4" t="s">
        <v>22</v>
      </c>
      <c r="C166" s="4">
        <v>15.0</v>
      </c>
      <c r="D166" s="4" t="s">
        <v>41</v>
      </c>
      <c r="E166" s="4" t="s">
        <v>22</v>
      </c>
      <c r="F166" s="4">
        <v>23.0</v>
      </c>
      <c r="G166" s="4" t="s">
        <v>49</v>
      </c>
      <c r="H166" s="4" t="s">
        <v>82</v>
      </c>
      <c r="I166" s="4" t="s">
        <v>31</v>
      </c>
      <c r="J166" s="7">
        <v>10.0</v>
      </c>
      <c r="K166" s="4">
        <v>-42.0</v>
      </c>
      <c r="L166" s="4">
        <v>-42.0</v>
      </c>
      <c r="M166" s="4">
        <v>0.0</v>
      </c>
      <c r="N166" s="4" t="s">
        <v>44</v>
      </c>
      <c r="O166" s="4">
        <f t="shared" si="1"/>
        <v>10</v>
      </c>
      <c r="P166" s="6">
        <v>3.158878</v>
      </c>
      <c r="Q166" s="6">
        <v>2.671807</v>
      </c>
      <c r="R166" s="6">
        <v>-0.48707</v>
      </c>
      <c r="S166" s="4" t="s">
        <v>23</v>
      </c>
      <c r="T166" s="4" t="s">
        <v>23</v>
      </c>
      <c r="U166" s="4" t="s">
        <v>23</v>
      </c>
      <c r="V166" s="4"/>
      <c r="W166" s="4"/>
      <c r="X166" s="4"/>
      <c r="Y166" s="4"/>
      <c r="Z166" s="4"/>
      <c r="AA166" s="4"/>
      <c r="AB166" s="4"/>
      <c r="AC166" s="4"/>
      <c r="AD166" s="4"/>
    </row>
    <row r="167" ht="14.25" customHeight="1">
      <c r="A167" s="4" t="s">
        <v>112</v>
      </c>
      <c r="B167" s="4" t="s">
        <v>22</v>
      </c>
      <c r="C167" s="4" t="s">
        <v>23</v>
      </c>
      <c r="D167" s="4" t="s">
        <v>23</v>
      </c>
      <c r="E167" s="4" t="s">
        <v>22</v>
      </c>
      <c r="F167" s="4" t="s">
        <v>23</v>
      </c>
      <c r="G167" s="4" t="s">
        <v>23</v>
      </c>
      <c r="H167" s="4" t="s">
        <v>74</v>
      </c>
      <c r="I167" s="4" t="s">
        <v>47</v>
      </c>
      <c r="J167" s="4">
        <f t="shared" ref="J167:J168" si="29">J166-M166</f>
        <v>10</v>
      </c>
      <c r="K167" s="4">
        <v>-42.0</v>
      </c>
      <c r="L167" s="4">
        <v>48.0</v>
      </c>
      <c r="M167" s="4">
        <v>-10.0</v>
      </c>
      <c r="N167" s="4" t="s">
        <v>44</v>
      </c>
      <c r="O167" s="4">
        <f t="shared" si="1"/>
        <v>20</v>
      </c>
      <c r="P167" s="6">
        <v>2.671807</v>
      </c>
      <c r="Q167" s="6">
        <v>1.733131</v>
      </c>
      <c r="R167" s="6">
        <v>-0.93868</v>
      </c>
      <c r="S167" s="4" t="s">
        <v>23</v>
      </c>
      <c r="T167" s="4" t="s">
        <v>23</v>
      </c>
      <c r="U167" s="4" t="s">
        <v>23</v>
      </c>
      <c r="V167" s="4"/>
      <c r="W167" s="4"/>
      <c r="X167" s="4"/>
      <c r="Y167" s="4"/>
      <c r="Z167" s="4"/>
      <c r="AA167" s="4"/>
      <c r="AB167" s="4"/>
      <c r="AC167" s="4"/>
      <c r="AD167" s="4"/>
    </row>
    <row r="168" ht="14.25" customHeight="1">
      <c r="A168" s="4" t="s">
        <v>112</v>
      </c>
      <c r="B168" s="4" t="s">
        <v>22</v>
      </c>
      <c r="C168" s="4">
        <v>15.0</v>
      </c>
      <c r="D168" s="4" t="s">
        <v>41</v>
      </c>
      <c r="E168" s="4" t="s">
        <v>22</v>
      </c>
      <c r="F168" s="4">
        <v>82.0</v>
      </c>
      <c r="G168" s="4" t="s">
        <v>72</v>
      </c>
      <c r="H168" s="4" t="s">
        <v>43</v>
      </c>
      <c r="I168" s="4" t="s">
        <v>47</v>
      </c>
      <c r="J168" s="4">
        <f t="shared" si="29"/>
        <v>20</v>
      </c>
      <c r="K168" s="4">
        <v>48.0</v>
      </c>
      <c r="L168" s="4">
        <v>-26.0</v>
      </c>
      <c r="M168" s="4">
        <v>26.0</v>
      </c>
      <c r="N168" s="4" t="s">
        <v>39</v>
      </c>
      <c r="O168" s="4">
        <f t="shared" si="1"/>
        <v>10</v>
      </c>
      <c r="P168" s="6">
        <v>1.733131</v>
      </c>
      <c r="Q168" s="6">
        <v>3.8984</v>
      </c>
      <c r="R168" s="6">
        <v>2.165269</v>
      </c>
      <c r="S168" s="4">
        <v>4.0</v>
      </c>
      <c r="T168" s="4" t="s">
        <v>27</v>
      </c>
      <c r="U168" s="4" t="s">
        <v>120</v>
      </c>
      <c r="V168" s="4"/>
      <c r="W168" s="4"/>
      <c r="X168" s="4"/>
      <c r="Y168" s="4"/>
      <c r="Z168" s="4"/>
      <c r="AA168" s="4"/>
      <c r="AB168" s="4"/>
      <c r="AC168" s="4"/>
      <c r="AD168" s="4"/>
    </row>
    <row r="169" ht="14.25" customHeight="1">
      <c r="A169" s="4" t="s">
        <v>112</v>
      </c>
      <c r="B169" s="4" t="s">
        <v>22</v>
      </c>
      <c r="C169" s="4">
        <v>15.0</v>
      </c>
      <c r="D169" s="4" t="s">
        <v>41</v>
      </c>
      <c r="E169" s="4" t="s">
        <v>22</v>
      </c>
      <c r="F169" s="4">
        <v>4.0</v>
      </c>
      <c r="G169" s="4" t="s">
        <v>42</v>
      </c>
      <c r="H169" s="4" t="s">
        <v>43</v>
      </c>
      <c r="I169" s="4" t="s">
        <v>31</v>
      </c>
      <c r="J169" s="7">
        <v>10.0</v>
      </c>
      <c r="K169" s="4">
        <v>-26.0</v>
      </c>
      <c r="L169" s="4">
        <v>-29.0</v>
      </c>
      <c r="M169" s="4">
        <v>-3.0</v>
      </c>
      <c r="N169" s="4" t="s">
        <v>44</v>
      </c>
      <c r="O169" s="4">
        <f t="shared" si="1"/>
        <v>13</v>
      </c>
      <c r="P169" s="6">
        <v>3.8984</v>
      </c>
      <c r="Q169" s="6">
        <v>3.41431</v>
      </c>
      <c r="R169" s="6">
        <v>-0.48409</v>
      </c>
      <c r="S169" s="4">
        <v>35.0</v>
      </c>
      <c r="T169" s="4" t="s">
        <v>27</v>
      </c>
      <c r="U169" s="4" t="s">
        <v>45</v>
      </c>
      <c r="V169" s="4"/>
      <c r="W169" s="4"/>
      <c r="X169" s="4"/>
      <c r="Y169" s="4"/>
      <c r="Z169" s="4"/>
      <c r="AA169" s="4"/>
      <c r="AB169" s="4"/>
      <c r="AC169" s="4"/>
      <c r="AD169" s="4"/>
    </row>
    <row r="170" ht="14.25" customHeight="1">
      <c r="A170" s="4" t="s">
        <v>112</v>
      </c>
      <c r="B170" s="4" t="s">
        <v>22</v>
      </c>
      <c r="C170" s="4">
        <v>15.0</v>
      </c>
      <c r="D170" s="4" t="s">
        <v>41</v>
      </c>
      <c r="E170" s="4" t="s">
        <v>27</v>
      </c>
      <c r="F170" s="4">
        <v>54.0</v>
      </c>
      <c r="G170" s="4" t="s">
        <v>121</v>
      </c>
      <c r="H170" s="4" t="s">
        <v>54</v>
      </c>
      <c r="I170" s="4" t="s">
        <v>47</v>
      </c>
      <c r="J170" s="4">
        <f t="shared" ref="J170:J172" si="30">J169-M169</f>
        <v>13</v>
      </c>
      <c r="K170" s="4">
        <v>-29.0</v>
      </c>
      <c r="L170" s="4">
        <v>-39.0</v>
      </c>
      <c r="M170" s="4">
        <v>-10.0</v>
      </c>
      <c r="N170" s="4" t="s">
        <v>51</v>
      </c>
      <c r="O170" s="4">
        <f t="shared" si="1"/>
        <v>23</v>
      </c>
      <c r="P170" s="6">
        <v>3.41431</v>
      </c>
      <c r="Q170" s="6">
        <v>1.705066</v>
      </c>
      <c r="R170" s="6">
        <v>-1.70924</v>
      </c>
      <c r="S170" s="4" t="s">
        <v>23</v>
      </c>
      <c r="T170" s="4" t="s">
        <v>23</v>
      </c>
      <c r="U170" s="4" t="s">
        <v>23</v>
      </c>
      <c r="V170" s="4"/>
      <c r="W170" s="4"/>
      <c r="X170" s="4"/>
      <c r="Y170" s="4"/>
      <c r="Z170" s="4"/>
      <c r="AA170" s="4"/>
      <c r="AB170" s="4"/>
      <c r="AC170" s="4"/>
      <c r="AD170" s="4"/>
    </row>
    <row r="171" ht="14.25" customHeight="1">
      <c r="A171" s="4" t="s">
        <v>112</v>
      </c>
      <c r="B171" s="4" t="s">
        <v>22</v>
      </c>
      <c r="C171" s="4">
        <v>15.0</v>
      </c>
      <c r="D171" s="4" t="s">
        <v>41</v>
      </c>
      <c r="E171" s="4" t="s">
        <v>22</v>
      </c>
      <c r="F171" s="4" t="s">
        <v>23</v>
      </c>
      <c r="G171" s="4" t="s">
        <v>23</v>
      </c>
      <c r="H171" s="4" t="s">
        <v>82</v>
      </c>
      <c r="I171" s="4" t="s">
        <v>55</v>
      </c>
      <c r="J171" s="4">
        <f t="shared" si="30"/>
        <v>23</v>
      </c>
      <c r="K171" s="4">
        <v>-39.0</v>
      </c>
      <c r="L171" s="4">
        <v>-39.0</v>
      </c>
      <c r="M171" s="4">
        <v>0.0</v>
      </c>
      <c r="N171" s="4" t="s">
        <v>56</v>
      </c>
      <c r="O171" s="4">
        <f t="shared" si="1"/>
        <v>23</v>
      </c>
      <c r="P171" s="6">
        <v>1.705066</v>
      </c>
      <c r="Q171" s="6">
        <v>0.987871</v>
      </c>
      <c r="R171" s="6">
        <v>-0.71719</v>
      </c>
      <c r="S171" s="4" t="s">
        <v>23</v>
      </c>
      <c r="T171" s="4" t="s">
        <v>23</v>
      </c>
      <c r="U171" s="4" t="s">
        <v>23</v>
      </c>
      <c r="V171" s="4"/>
      <c r="W171" s="4"/>
      <c r="X171" s="4"/>
      <c r="Y171" s="4"/>
      <c r="Z171" s="4"/>
      <c r="AA171" s="4"/>
      <c r="AB171" s="4"/>
      <c r="AC171" s="4"/>
      <c r="AD171" s="4"/>
    </row>
    <row r="172" ht="14.25" customHeight="1">
      <c r="A172" s="4" t="s">
        <v>112</v>
      </c>
      <c r="B172" s="4" t="s">
        <v>22</v>
      </c>
      <c r="C172" s="4" t="s">
        <v>23</v>
      </c>
      <c r="D172" s="4" t="s">
        <v>23</v>
      </c>
      <c r="E172" s="4" t="s">
        <v>22</v>
      </c>
      <c r="F172" s="4">
        <v>28.0</v>
      </c>
      <c r="G172" s="4" t="s">
        <v>24</v>
      </c>
      <c r="H172" s="4" t="s">
        <v>68</v>
      </c>
      <c r="I172" s="4" t="s">
        <v>59</v>
      </c>
      <c r="J172" s="4">
        <f t="shared" si="30"/>
        <v>23</v>
      </c>
      <c r="K172" s="4">
        <v>-46.0</v>
      </c>
      <c r="L172" s="4">
        <v>0.0</v>
      </c>
      <c r="M172" s="4">
        <v>46.0</v>
      </c>
      <c r="N172" s="4" t="s">
        <v>122</v>
      </c>
      <c r="O172" s="4">
        <f t="shared" si="1"/>
        <v>10</v>
      </c>
      <c r="P172" s="6">
        <v>0.987871</v>
      </c>
      <c r="Q172" s="6">
        <v>-1.990539</v>
      </c>
      <c r="R172" s="6">
        <f>Q172-P172</f>
        <v>-2.97841</v>
      </c>
      <c r="S172" s="4" t="s">
        <v>23</v>
      </c>
      <c r="T172" s="4" t="s">
        <v>23</v>
      </c>
      <c r="U172" s="4" t="s">
        <v>23</v>
      </c>
      <c r="V172" s="4"/>
      <c r="W172" s="4"/>
      <c r="X172" s="4"/>
      <c r="Y172" s="4"/>
      <c r="Z172" s="4"/>
      <c r="AA172" s="4"/>
      <c r="AB172" s="4"/>
      <c r="AC172" s="4"/>
      <c r="AD172" s="4"/>
    </row>
    <row r="173" ht="14.25" customHeight="1">
      <c r="A173" s="4" t="s">
        <v>112</v>
      </c>
      <c r="B173" s="4" t="s">
        <v>27</v>
      </c>
      <c r="C173" s="4" t="s">
        <v>23</v>
      </c>
      <c r="D173" s="4" t="s">
        <v>23</v>
      </c>
      <c r="E173" s="4" t="s">
        <v>27</v>
      </c>
      <c r="F173" s="4" t="s">
        <v>23</v>
      </c>
      <c r="G173" s="4" t="s">
        <v>23</v>
      </c>
      <c r="H173" s="4" t="s">
        <v>74</v>
      </c>
      <c r="I173" s="4" t="s">
        <v>31</v>
      </c>
      <c r="J173" s="7">
        <v>10.0</v>
      </c>
      <c r="K173" s="4">
        <v>39.0</v>
      </c>
      <c r="L173" s="4">
        <v>24.0</v>
      </c>
      <c r="M173" s="4">
        <v>-15.0</v>
      </c>
      <c r="N173" s="4" t="s">
        <v>39</v>
      </c>
      <c r="O173" s="4">
        <f t="shared" si="1"/>
        <v>10</v>
      </c>
      <c r="P173" s="6">
        <v>1.990539</v>
      </c>
      <c r="Q173" s="6">
        <v>0.806996</v>
      </c>
      <c r="R173" s="6">
        <v>-1.18354</v>
      </c>
      <c r="S173" s="4" t="s">
        <v>23</v>
      </c>
      <c r="T173" s="4" t="s">
        <v>23</v>
      </c>
      <c r="U173" s="4" t="s">
        <v>23</v>
      </c>
      <c r="V173" s="4"/>
      <c r="W173" s="4"/>
      <c r="X173" s="4"/>
      <c r="Y173" s="4"/>
      <c r="Z173" s="4"/>
      <c r="AA173" s="4"/>
      <c r="AB173" s="4"/>
      <c r="AC173" s="4"/>
      <c r="AD173" s="4"/>
    </row>
    <row r="174" ht="14.25" customHeight="1">
      <c r="A174" s="4" t="s">
        <v>112</v>
      </c>
      <c r="B174" s="4" t="s">
        <v>27</v>
      </c>
      <c r="C174" s="4">
        <v>10.0</v>
      </c>
      <c r="D174" s="4" t="s">
        <v>28</v>
      </c>
      <c r="E174" s="4" t="s">
        <v>27</v>
      </c>
      <c r="F174" s="4">
        <v>10.0</v>
      </c>
      <c r="G174" s="4" t="s">
        <v>28</v>
      </c>
      <c r="H174" s="4" t="s">
        <v>123</v>
      </c>
      <c r="I174" s="4" t="s">
        <v>31</v>
      </c>
      <c r="J174" s="7">
        <v>10.0</v>
      </c>
      <c r="K174" s="4">
        <v>24.0</v>
      </c>
      <c r="L174" s="4">
        <v>24.0</v>
      </c>
      <c r="M174" s="4">
        <v>0.0</v>
      </c>
      <c r="N174" s="4" t="s">
        <v>44</v>
      </c>
      <c r="O174" s="4">
        <f t="shared" si="1"/>
        <v>10</v>
      </c>
      <c r="P174" s="6">
        <v>0.806996</v>
      </c>
      <c r="Q174" s="6">
        <v>0.171867</v>
      </c>
      <c r="R174" s="6">
        <v>-0.63513</v>
      </c>
      <c r="S174" s="4" t="s">
        <v>23</v>
      </c>
      <c r="T174" s="4" t="s">
        <v>23</v>
      </c>
      <c r="U174" s="4" t="s">
        <v>23</v>
      </c>
      <c r="V174" s="4"/>
      <c r="W174" s="4"/>
      <c r="X174" s="4"/>
      <c r="Y174" s="4"/>
      <c r="Z174" s="4"/>
      <c r="AA174" s="4"/>
      <c r="AB174" s="4"/>
      <c r="AC174" s="4"/>
      <c r="AD174" s="4"/>
    </row>
    <row r="175" ht="14.25" customHeight="1">
      <c r="A175" s="4" t="s">
        <v>112</v>
      </c>
      <c r="B175" s="4" t="s">
        <v>27</v>
      </c>
      <c r="C175" s="4">
        <v>10.0</v>
      </c>
      <c r="D175" s="4" t="s">
        <v>28</v>
      </c>
      <c r="E175" s="4" t="s">
        <v>27</v>
      </c>
      <c r="F175" s="4">
        <v>10.0</v>
      </c>
      <c r="G175" s="4" t="s">
        <v>28</v>
      </c>
      <c r="H175" s="4" t="s">
        <v>123</v>
      </c>
      <c r="I175" s="4" t="s">
        <v>47</v>
      </c>
      <c r="J175" s="4">
        <f>J174-M174</f>
        <v>10</v>
      </c>
      <c r="K175" s="4">
        <v>24.0</v>
      </c>
      <c r="L175" s="4">
        <v>24.0</v>
      </c>
      <c r="M175" s="4">
        <v>0.0</v>
      </c>
      <c r="N175" s="4" t="s">
        <v>124</v>
      </c>
      <c r="O175" s="4" t="str">
        <f t="shared" si="1"/>
        <v/>
      </c>
      <c r="P175" s="8"/>
      <c r="Q175" s="8"/>
      <c r="R175" s="6">
        <v>0.0</v>
      </c>
      <c r="S175" s="4" t="s">
        <v>23</v>
      </c>
      <c r="T175" s="4" t="s">
        <v>23</v>
      </c>
      <c r="U175" s="4" t="s">
        <v>23</v>
      </c>
      <c r="V175" s="4"/>
      <c r="W175" s="4"/>
      <c r="X175" s="4"/>
      <c r="Y175" s="4"/>
      <c r="Z175" s="4"/>
      <c r="AA175" s="4"/>
      <c r="AB175" s="4"/>
      <c r="AC175" s="4"/>
      <c r="AD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9"/>
      <c r="Q176" s="9"/>
      <c r="R176" s="9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9"/>
      <c r="Q177" s="9"/>
      <c r="R177" s="9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9"/>
      <c r="Q178" s="9"/>
      <c r="R178" s="9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9"/>
      <c r="Q179" s="9"/>
      <c r="R179" s="9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9"/>
      <c r="Q180" s="9"/>
      <c r="R180" s="9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9"/>
      <c r="Q181" s="9"/>
      <c r="R181" s="9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9"/>
      <c r="Q182" s="9"/>
      <c r="R182" s="9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9"/>
      <c r="Q183" s="9"/>
      <c r="R183" s="9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9"/>
      <c r="Q184" s="9"/>
      <c r="R184" s="9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9"/>
      <c r="Q185" s="9"/>
      <c r="R185" s="9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9"/>
      <c r="Q186" s="9"/>
      <c r="R186" s="9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9"/>
      <c r="Q187" s="9"/>
      <c r="R187" s="9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9"/>
      <c r="Q188" s="9"/>
      <c r="R188" s="9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9"/>
      <c r="Q189" s="9"/>
      <c r="R189" s="9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9"/>
      <c r="Q190" s="9"/>
      <c r="R190" s="9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9"/>
      <c r="Q191" s="9"/>
      <c r="R191" s="9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9"/>
      <c r="Q192" s="9"/>
      <c r="R192" s="9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9"/>
      <c r="Q193" s="9"/>
      <c r="R193" s="9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/>
      <c r="Q194" s="9"/>
      <c r="R194" s="9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/>
      <c r="Q195" s="9"/>
      <c r="R195" s="9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/>
      <c r="Q196" s="9"/>
      <c r="R196" s="9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/>
      <c r="Q197" s="9"/>
      <c r="R197" s="9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9"/>
      <c r="Q198" s="9"/>
      <c r="R198" s="9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/>
      <c r="Q199" s="9"/>
      <c r="R199" s="9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/>
      <c r="Q200" s="9"/>
      <c r="R200" s="9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/>
      <c r="Q201" s="9"/>
      <c r="R201" s="9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/>
      <c r="Q202" s="9"/>
      <c r="R202" s="9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/>
      <c r="Q203" s="9"/>
      <c r="R203" s="9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9"/>
      <c r="Q204" s="9"/>
      <c r="R204" s="9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9"/>
      <c r="Q205" s="9"/>
      <c r="R205" s="9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9"/>
      <c r="Q206" s="9"/>
      <c r="R206" s="9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9"/>
      <c r="Q207" s="9"/>
      <c r="R207" s="9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9"/>
      <c r="Q208" s="9"/>
      <c r="R208" s="9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9"/>
      <c r="Q209" s="9"/>
      <c r="R209" s="9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9"/>
      <c r="Q210" s="9"/>
      <c r="R210" s="9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9"/>
      <c r="Q211" s="9"/>
      <c r="R211" s="9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9"/>
      <c r="Q212" s="9"/>
      <c r="R212" s="9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9"/>
      <c r="Q213" s="9"/>
      <c r="R213" s="9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9"/>
      <c r="Q214" s="9"/>
      <c r="R214" s="9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9"/>
      <c r="Q215" s="9"/>
      <c r="R215" s="9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9"/>
      <c r="Q216" s="9"/>
      <c r="R216" s="9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9"/>
      <c r="Q217" s="9"/>
      <c r="R217" s="9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9"/>
      <c r="Q218" s="9"/>
      <c r="R218" s="9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9"/>
      <c r="Q219" s="9"/>
      <c r="R219" s="9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9"/>
      <c r="Q220" s="9"/>
      <c r="R220" s="9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9"/>
      <c r="Q221" s="9"/>
      <c r="R221" s="9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9"/>
      <c r="Q222" s="9"/>
      <c r="R222" s="9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9"/>
      <c r="Q223" s="9"/>
      <c r="R223" s="9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9"/>
      <c r="Q224" s="9"/>
      <c r="R224" s="9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9"/>
      <c r="Q225" s="9"/>
      <c r="R225" s="9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9"/>
      <c r="Q226" s="9"/>
      <c r="R226" s="9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9"/>
      <c r="Q227" s="9"/>
      <c r="R227" s="9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9"/>
      <c r="Q228" s="9"/>
      <c r="R228" s="9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9"/>
      <c r="Q229" s="9"/>
      <c r="R229" s="9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9"/>
      <c r="Q230" s="9"/>
      <c r="R230" s="9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9"/>
      <c r="Q231" s="9"/>
      <c r="R231" s="9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9"/>
      <c r="Q232" s="9"/>
      <c r="R232" s="9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9"/>
      <c r="Q233" s="9"/>
      <c r="R233" s="9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9"/>
      <c r="Q234" s="9"/>
      <c r="R234" s="9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9"/>
      <c r="Q235" s="9"/>
      <c r="R235" s="9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9"/>
      <c r="Q236" s="9"/>
      <c r="R236" s="9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9"/>
      <c r="Q237" s="9"/>
      <c r="R237" s="9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9"/>
      <c r="Q238" s="9"/>
      <c r="R238" s="9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9"/>
      <c r="Q239" s="9"/>
      <c r="R239" s="9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9"/>
      <c r="Q240" s="9"/>
      <c r="R240" s="9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9"/>
      <c r="Q241" s="9"/>
      <c r="R241" s="9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9"/>
      <c r="Q242" s="9"/>
      <c r="R242" s="9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9"/>
      <c r="Q243" s="9"/>
      <c r="R243" s="9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9"/>
      <c r="Q244" s="9"/>
      <c r="R244" s="9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9"/>
      <c r="Q245" s="9"/>
      <c r="R245" s="9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9"/>
      <c r="Q246" s="9"/>
      <c r="R246" s="9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9"/>
      <c r="Q247" s="9"/>
      <c r="R247" s="9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9"/>
      <c r="Q248" s="9"/>
      <c r="R248" s="9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9"/>
      <c r="Q249" s="9"/>
      <c r="R249" s="9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9"/>
      <c r="Q250" s="9"/>
      <c r="R250" s="9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9"/>
      <c r="Q251" s="9"/>
      <c r="R251" s="9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9"/>
      <c r="Q252" s="9"/>
      <c r="R252" s="9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9"/>
      <c r="Q253" s="9"/>
      <c r="R253" s="9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9"/>
      <c r="Q254" s="9"/>
      <c r="R254" s="9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9"/>
      <c r="Q255" s="9"/>
      <c r="R255" s="9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9"/>
      <c r="Q256" s="9"/>
      <c r="R256" s="9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9"/>
      <c r="Q257" s="9"/>
      <c r="R257" s="9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9"/>
      <c r="Q258" s="9"/>
      <c r="R258" s="9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9"/>
      <c r="Q259" s="9"/>
      <c r="R259" s="9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9"/>
      <c r="Q260" s="9"/>
      <c r="R260" s="9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9"/>
      <c r="Q261" s="9"/>
      <c r="R261" s="9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9"/>
      <c r="Q262" s="9"/>
      <c r="R262" s="9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9"/>
      <c r="Q263" s="9"/>
      <c r="R263" s="9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9"/>
      <c r="Q264" s="9"/>
      <c r="R264" s="9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9"/>
      <c r="Q265" s="9"/>
      <c r="R265" s="9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9"/>
      <c r="Q266" s="9"/>
      <c r="R266" s="9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9"/>
      <c r="Q267" s="9"/>
      <c r="R267" s="9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9"/>
      <c r="Q268" s="9"/>
      <c r="R268" s="9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9"/>
      <c r="Q269" s="9"/>
      <c r="R269" s="9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9"/>
      <c r="Q270" s="9"/>
      <c r="R270" s="9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9"/>
      <c r="Q271" s="9"/>
      <c r="R271" s="9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9"/>
      <c r="Q272" s="9"/>
      <c r="R272" s="9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9"/>
      <c r="Q273" s="9"/>
      <c r="R273" s="9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9"/>
      <c r="Q274" s="9"/>
      <c r="R274" s="9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9"/>
      <c r="Q275" s="9"/>
      <c r="R275" s="9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9"/>
      <c r="Q276" s="9"/>
      <c r="R276" s="9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9"/>
      <c r="Q277" s="9"/>
      <c r="R277" s="9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9"/>
      <c r="Q278" s="9"/>
      <c r="R278" s="9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9"/>
      <c r="Q279" s="9"/>
      <c r="R279" s="9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9"/>
      <c r="Q280" s="9"/>
      <c r="R280" s="9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9"/>
      <c r="Q281" s="9"/>
      <c r="R281" s="9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9"/>
      <c r="Q282" s="9"/>
      <c r="R282" s="9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9"/>
      <c r="Q283" s="9"/>
      <c r="R283" s="9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9"/>
      <c r="Q284" s="9"/>
      <c r="R284" s="9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9"/>
      <c r="Q285" s="9"/>
      <c r="R285" s="9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9"/>
      <c r="Q286" s="9"/>
      <c r="R286" s="9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9"/>
      <c r="Q287" s="9"/>
      <c r="R287" s="9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9"/>
      <c r="Q288" s="9"/>
      <c r="R288" s="9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9"/>
      <c r="Q289" s="9"/>
      <c r="R289" s="9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9"/>
      <c r="Q290" s="9"/>
      <c r="R290" s="9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9"/>
      <c r="Q291" s="9"/>
      <c r="R291" s="9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9"/>
      <c r="Q292" s="9"/>
      <c r="R292" s="9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9"/>
      <c r="Q293" s="9"/>
      <c r="R293" s="9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9"/>
      <c r="Q294" s="9"/>
      <c r="R294" s="9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9"/>
      <c r="Q295" s="9"/>
      <c r="R295" s="9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9"/>
      <c r="Q296" s="9"/>
      <c r="R296" s="9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9"/>
      <c r="Q297" s="9"/>
      <c r="R297" s="9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9"/>
      <c r="Q298" s="9"/>
      <c r="R298" s="9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9"/>
      <c r="Q299" s="9"/>
      <c r="R299" s="9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9"/>
      <c r="Q300" s="9"/>
      <c r="R300" s="9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9"/>
      <c r="Q301" s="9"/>
      <c r="R301" s="9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9"/>
      <c r="Q302" s="9"/>
      <c r="R302" s="9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9"/>
      <c r="Q303" s="9"/>
      <c r="R303" s="9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9"/>
      <c r="Q304" s="9"/>
      <c r="R304" s="9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9"/>
      <c r="Q305" s="9"/>
      <c r="R305" s="9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9"/>
      <c r="Q306" s="9"/>
      <c r="R306" s="9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9"/>
      <c r="Q307" s="9"/>
      <c r="R307" s="9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9"/>
      <c r="Q308" s="9"/>
      <c r="R308" s="9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9"/>
      <c r="Q309" s="9"/>
      <c r="R309" s="9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9"/>
      <c r="Q310" s="9"/>
      <c r="R310" s="9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9"/>
      <c r="Q311" s="9"/>
      <c r="R311" s="9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9"/>
      <c r="Q312" s="9"/>
      <c r="R312" s="9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9"/>
      <c r="Q313" s="9"/>
      <c r="R313" s="9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9"/>
      <c r="Q314" s="9"/>
      <c r="R314" s="9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9"/>
      <c r="Q315" s="9"/>
      <c r="R315" s="9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9"/>
      <c r="Q316" s="9"/>
      <c r="R316" s="9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9"/>
      <c r="Q317" s="9"/>
      <c r="R317" s="9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9"/>
      <c r="Q318" s="9"/>
      <c r="R318" s="9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9"/>
      <c r="Q319" s="9"/>
      <c r="R319" s="9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9"/>
      <c r="Q320" s="9"/>
      <c r="R320" s="9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9"/>
      <c r="Q321" s="9"/>
      <c r="R321" s="9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9"/>
      <c r="Q322" s="9"/>
      <c r="R322" s="9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9"/>
      <c r="Q323" s="9"/>
      <c r="R323" s="9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9"/>
      <c r="Q324" s="9"/>
      <c r="R324" s="9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9"/>
      <c r="Q325" s="9"/>
      <c r="R325" s="9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9"/>
      <c r="Q326" s="9"/>
      <c r="R326" s="9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9"/>
      <c r="Q327" s="9"/>
      <c r="R327" s="9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9"/>
      <c r="Q328" s="9"/>
      <c r="R328" s="9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9"/>
      <c r="Q329" s="9"/>
      <c r="R329" s="9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9"/>
      <c r="Q330" s="9"/>
      <c r="R330" s="9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9"/>
      <c r="Q331" s="9"/>
      <c r="R331" s="9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9"/>
      <c r="Q332" s="9"/>
      <c r="R332" s="9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9"/>
      <c r="Q333" s="9"/>
      <c r="R333" s="9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9"/>
      <c r="Q334" s="9"/>
      <c r="R334" s="9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9"/>
      <c r="Q335" s="9"/>
      <c r="R335" s="9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9"/>
      <c r="Q336" s="9"/>
      <c r="R336" s="9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9"/>
      <c r="Q337" s="9"/>
      <c r="R337" s="9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9"/>
      <c r="Q338" s="9"/>
      <c r="R338" s="9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9"/>
      <c r="Q339" s="9"/>
      <c r="R339" s="9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9"/>
      <c r="Q340" s="9"/>
      <c r="R340" s="9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9"/>
      <c r="Q341" s="9"/>
      <c r="R341" s="9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9"/>
      <c r="Q342" s="9"/>
      <c r="R342" s="9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9"/>
      <c r="Q343" s="9"/>
      <c r="R343" s="9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9"/>
      <c r="Q344" s="9"/>
      <c r="R344" s="9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9"/>
      <c r="Q345" s="9"/>
      <c r="R345" s="9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9"/>
      <c r="Q346" s="9"/>
      <c r="R346" s="9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9"/>
      <c r="Q347" s="9"/>
      <c r="R347" s="9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9"/>
      <c r="Q348" s="9"/>
      <c r="R348" s="9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9"/>
      <c r="Q349" s="9"/>
      <c r="R349" s="9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9"/>
      <c r="Q350" s="9"/>
      <c r="R350" s="9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9"/>
      <c r="Q351" s="9"/>
      <c r="R351" s="9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9"/>
      <c r="Q352" s="9"/>
      <c r="R352" s="9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9"/>
      <c r="Q353" s="9"/>
      <c r="R353" s="9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9"/>
      <c r="Q354" s="9"/>
      <c r="R354" s="9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9"/>
      <c r="Q355" s="9"/>
      <c r="R355" s="9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9"/>
      <c r="Q356" s="9"/>
      <c r="R356" s="9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9"/>
      <c r="Q357" s="9"/>
      <c r="R357" s="9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9"/>
      <c r="Q358" s="9"/>
      <c r="R358" s="9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9"/>
      <c r="Q359" s="9"/>
      <c r="R359" s="9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9"/>
      <c r="Q360" s="9"/>
      <c r="R360" s="9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9"/>
      <c r="Q361" s="9"/>
      <c r="R361" s="9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9"/>
      <c r="Q362" s="9"/>
      <c r="R362" s="9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9"/>
      <c r="Q363" s="9"/>
      <c r="R363" s="9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9"/>
      <c r="Q364" s="9"/>
      <c r="R364" s="9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9"/>
      <c r="Q365" s="9"/>
      <c r="R365" s="9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9"/>
      <c r="Q366" s="9"/>
      <c r="R366" s="9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9"/>
      <c r="Q367" s="9"/>
      <c r="R367" s="9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9"/>
      <c r="Q368" s="9"/>
      <c r="R368" s="9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9"/>
      <c r="Q369" s="9"/>
      <c r="R369" s="9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9"/>
      <c r="Q370" s="9"/>
      <c r="R370" s="9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9"/>
      <c r="Q371" s="9"/>
      <c r="R371" s="9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9"/>
      <c r="Q372" s="9"/>
      <c r="R372" s="9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9"/>
      <c r="Q373" s="9"/>
      <c r="R373" s="9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9"/>
      <c r="Q374" s="9"/>
      <c r="R374" s="9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9"/>
      <c r="Q375" s="9"/>
      <c r="R375" s="9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9"/>
      <c r="Q376" s="9"/>
      <c r="R376" s="9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9"/>
      <c r="Q377" s="9"/>
      <c r="R377" s="9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9"/>
      <c r="Q378" s="9"/>
      <c r="R378" s="9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9"/>
      <c r="Q379" s="9"/>
      <c r="R379" s="9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9"/>
      <c r="Q380" s="9"/>
      <c r="R380" s="9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9"/>
      <c r="Q381" s="9"/>
      <c r="R381" s="9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9"/>
      <c r="Q382" s="9"/>
      <c r="R382" s="9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9"/>
      <c r="Q383" s="9"/>
      <c r="R383" s="9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9"/>
      <c r="Q384" s="9"/>
      <c r="R384" s="9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9"/>
      <c r="Q385" s="9"/>
      <c r="R385" s="9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9"/>
      <c r="Q386" s="9"/>
      <c r="R386" s="9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9"/>
      <c r="Q387" s="9"/>
      <c r="R387" s="9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9"/>
      <c r="Q388" s="9"/>
      <c r="R388" s="9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9"/>
      <c r="Q389" s="9"/>
      <c r="R389" s="9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9"/>
      <c r="Q390" s="9"/>
      <c r="R390" s="9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9"/>
      <c r="Q391" s="9"/>
      <c r="R391" s="9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9"/>
      <c r="Q392" s="9"/>
      <c r="R392" s="9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9"/>
      <c r="Q393" s="9"/>
      <c r="R393" s="9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9"/>
      <c r="Q394" s="9"/>
      <c r="R394" s="9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9"/>
      <c r="Q395" s="9"/>
      <c r="R395" s="9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9"/>
      <c r="Q396" s="9"/>
      <c r="R396" s="9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9"/>
      <c r="Q397" s="9"/>
      <c r="R397" s="9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9"/>
      <c r="Q398" s="9"/>
      <c r="R398" s="9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9"/>
      <c r="Q399" s="9"/>
      <c r="R399" s="9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9"/>
      <c r="Q400" s="9"/>
      <c r="R400" s="9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9"/>
      <c r="Q401" s="9"/>
      <c r="R401" s="9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9"/>
      <c r="Q402" s="9"/>
      <c r="R402" s="9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9"/>
      <c r="Q403" s="9"/>
      <c r="R403" s="9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9"/>
      <c r="Q404" s="9"/>
      <c r="R404" s="9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9"/>
      <c r="Q405" s="9"/>
      <c r="R405" s="9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9"/>
      <c r="Q406" s="9"/>
      <c r="R406" s="9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9"/>
      <c r="Q407" s="9"/>
      <c r="R407" s="9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9"/>
      <c r="Q408" s="9"/>
      <c r="R408" s="9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9"/>
      <c r="Q409" s="9"/>
      <c r="R409" s="9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9"/>
      <c r="Q410" s="9"/>
      <c r="R410" s="9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9"/>
      <c r="Q411" s="9"/>
      <c r="R411" s="9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9"/>
      <c r="Q412" s="9"/>
      <c r="R412" s="9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9"/>
      <c r="Q413" s="9"/>
      <c r="R413" s="9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9"/>
      <c r="Q414" s="9"/>
      <c r="R414" s="9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9"/>
      <c r="Q415" s="9"/>
      <c r="R415" s="9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9"/>
      <c r="Q416" s="9"/>
      <c r="R416" s="9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9"/>
      <c r="Q417" s="9"/>
      <c r="R417" s="9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9"/>
      <c r="Q418" s="9"/>
      <c r="R418" s="9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9"/>
      <c r="Q419" s="9"/>
      <c r="R419" s="9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9"/>
      <c r="Q420" s="9"/>
      <c r="R420" s="9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9"/>
      <c r="Q421" s="9"/>
      <c r="R421" s="9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9"/>
      <c r="Q422" s="9"/>
      <c r="R422" s="9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9"/>
      <c r="Q423" s="9"/>
      <c r="R423" s="9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9"/>
      <c r="Q424" s="9"/>
      <c r="R424" s="9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9"/>
      <c r="Q425" s="9"/>
      <c r="R425" s="9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9"/>
      <c r="Q426" s="9"/>
      <c r="R426" s="9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9"/>
      <c r="Q427" s="9"/>
      <c r="R427" s="9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9"/>
      <c r="Q428" s="9"/>
      <c r="R428" s="9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9"/>
      <c r="Q429" s="9"/>
      <c r="R429" s="9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9"/>
      <c r="Q430" s="9"/>
      <c r="R430" s="9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9"/>
      <c r="Q431" s="9"/>
      <c r="R431" s="9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9"/>
      <c r="Q432" s="9"/>
      <c r="R432" s="9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9"/>
      <c r="Q433" s="9"/>
      <c r="R433" s="9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9"/>
      <c r="Q434" s="9"/>
      <c r="R434" s="9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9"/>
      <c r="Q435" s="9"/>
      <c r="R435" s="9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9"/>
      <c r="Q436" s="9"/>
      <c r="R436" s="9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9"/>
      <c r="Q437" s="9"/>
      <c r="R437" s="9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9"/>
      <c r="Q438" s="9"/>
      <c r="R438" s="9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9"/>
      <c r="Q439" s="9"/>
      <c r="R439" s="9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9"/>
      <c r="Q440" s="9"/>
      <c r="R440" s="9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9"/>
      <c r="Q441" s="9"/>
      <c r="R441" s="9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9"/>
      <c r="Q442" s="9"/>
      <c r="R442" s="9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9"/>
      <c r="Q443" s="9"/>
      <c r="R443" s="9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9"/>
      <c r="Q444" s="9"/>
      <c r="R444" s="9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9"/>
      <c r="Q445" s="9"/>
      <c r="R445" s="9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9"/>
      <c r="Q446" s="9"/>
      <c r="R446" s="9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9"/>
      <c r="Q447" s="9"/>
      <c r="R447" s="9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9"/>
      <c r="Q448" s="9"/>
      <c r="R448" s="9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9"/>
      <c r="Q449" s="9"/>
      <c r="R449" s="9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9"/>
      <c r="Q450" s="9"/>
      <c r="R450" s="9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9"/>
      <c r="Q451" s="9"/>
      <c r="R451" s="9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9"/>
      <c r="Q452" s="9"/>
      <c r="R452" s="9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9"/>
      <c r="Q453" s="9"/>
      <c r="R453" s="9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9"/>
      <c r="Q454" s="9"/>
      <c r="R454" s="9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9"/>
      <c r="Q455" s="9"/>
      <c r="R455" s="9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9"/>
      <c r="Q456" s="9"/>
      <c r="R456" s="9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9"/>
      <c r="Q457" s="9"/>
      <c r="R457" s="9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9"/>
      <c r="Q458" s="9"/>
      <c r="R458" s="9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9"/>
      <c r="Q459" s="9"/>
      <c r="R459" s="9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9"/>
      <c r="Q460" s="9"/>
      <c r="R460" s="9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9"/>
      <c r="Q461" s="9"/>
      <c r="R461" s="9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9"/>
      <c r="Q462" s="9"/>
      <c r="R462" s="9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9"/>
      <c r="Q463" s="9"/>
      <c r="R463" s="9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9"/>
      <c r="Q464" s="9"/>
      <c r="R464" s="9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9"/>
      <c r="Q465" s="9"/>
      <c r="R465" s="9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9"/>
      <c r="Q466" s="9"/>
      <c r="R466" s="9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9"/>
      <c r="Q467" s="9"/>
      <c r="R467" s="9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9"/>
      <c r="Q468" s="9"/>
      <c r="R468" s="9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9"/>
      <c r="Q469" s="9"/>
      <c r="R469" s="9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9"/>
      <c r="Q470" s="9"/>
      <c r="R470" s="9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9"/>
      <c r="Q471" s="9"/>
      <c r="R471" s="9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9"/>
      <c r="Q472" s="9"/>
      <c r="R472" s="9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9"/>
      <c r="Q473" s="9"/>
      <c r="R473" s="9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9"/>
      <c r="Q474" s="9"/>
      <c r="R474" s="9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9"/>
      <c r="Q475" s="9"/>
      <c r="R475" s="9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9"/>
      <c r="Q476" s="9"/>
      <c r="R476" s="9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9"/>
      <c r="Q477" s="9"/>
      <c r="R477" s="9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9"/>
      <c r="Q478" s="9"/>
      <c r="R478" s="9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9"/>
      <c r="Q479" s="9"/>
      <c r="R479" s="9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9"/>
      <c r="Q480" s="9"/>
      <c r="R480" s="9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9"/>
      <c r="Q481" s="9"/>
      <c r="R481" s="9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9"/>
      <c r="Q482" s="9"/>
      <c r="R482" s="9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9"/>
      <c r="Q483" s="9"/>
      <c r="R483" s="9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9"/>
      <c r="Q484" s="9"/>
      <c r="R484" s="9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9"/>
      <c r="Q485" s="9"/>
      <c r="R485" s="9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9"/>
      <c r="Q486" s="9"/>
      <c r="R486" s="9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9"/>
      <c r="Q487" s="9"/>
      <c r="R487" s="9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9"/>
      <c r="Q488" s="9"/>
      <c r="R488" s="9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9"/>
      <c r="Q489" s="9"/>
      <c r="R489" s="9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9"/>
      <c r="Q490" s="9"/>
      <c r="R490" s="9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9"/>
      <c r="Q491" s="9"/>
      <c r="R491" s="9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9"/>
      <c r="Q492" s="9"/>
      <c r="R492" s="9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9"/>
      <c r="Q493" s="9"/>
      <c r="R493" s="9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9"/>
      <c r="Q494" s="9"/>
      <c r="R494" s="9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9"/>
      <c r="Q495" s="9"/>
      <c r="R495" s="9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9"/>
      <c r="Q496" s="9"/>
      <c r="R496" s="9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9"/>
      <c r="Q497" s="9"/>
      <c r="R497" s="9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9"/>
      <c r="Q498" s="9"/>
      <c r="R498" s="9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9"/>
      <c r="Q499" s="9"/>
      <c r="R499" s="9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9"/>
      <c r="Q500" s="9"/>
      <c r="R500" s="9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9"/>
      <c r="Q501" s="9"/>
      <c r="R501" s="9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9"/>
      <c r="Q502" s="9"/>
      <c r="R502" s="9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9"/>
      <c r="Q503" s="9"/>
      <c r="R503" s="9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9"/>
      <c r="Q504" s="9"/>
      <c r="R504" s="9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9"/>
      <c r="Q505" s="9"/>
      <c r="R505" s="9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9"/>
      <c r="Q506" s="9"/>
      <c r="R506" s="9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9"/>
      <c r="Q507" s="9"/>
      <c r="R507" s="9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9"/>
      <c r="Q508" s="9"/>
      <c r="R508" s="9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9"/>
      <c r="Q509" s="9"/>
      <c r="R509" s="9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9"/>
      <c r="Q510" s="9"/>
      <c r="R510" s="9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9"/>
      <c r="Q511" s="9"/>
      <c r="R511" s="9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9"/>
      <c r="Q512" s="9"/>
      <c r="R512" s="9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9"/>
      <c r="Q513" s="9"/>
      <c r="R513" s="9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9"/>
      <c r="Q514" s="9"/>
      <c r="R514" s="9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9"/>
      <c r="Q515" s="9"/>
      <c r="R515" s="9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9"/>
      <c r="Q516" s="9"/>
      <c r="R516" s="9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9"/>
      <c r="Q517" s="9"/>
      <c r="R517" s="9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9"/>
      <c r="Q518" s="9"/>
      <c r="R518" s="9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9"/>
      <c r="Q519" s="9"/>
      <c r="R519" s="9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9"/>
      <c r="Q520" s="9"/>
      <c r="R520" s="9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9"/>
      <c r="Q521" s="9"/>
      <c r="R521" s="9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9"/>
      <c r="Q522" s="9"/>
      <c r="R522" s="9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9"/>
      <c r="Q523" s="9"/>
      <c r="R523" s="9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9"/>
      <c r="Q524" s="9"/>
      <c r="R524" s="9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9"/>
      <c r="Q525" s="9"/>
      <c r="R525" s="9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9"/>
      <c r="Q526" s="9"/>
      <c r="R526" s="9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9"/>
      <c r="Q527" s="9"/>
      <c r="R527" s="9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9"/>
      <c r="Q528" s="9"/>
      <c r="R528" s="9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9"/>
      <c r="Q529" s="9"/>
      <c r="R529" s="9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9"/>
      <c r="Q530" s="9"/>
      <c r="R530" s="9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9"/>
      <c r="Q531" s="9"/>
      <c r="R531" s="9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9"/>
      <c r="Q532" s="9"/>
      <c r="R532" s="9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9"/>
      <c r="Q533" s="9"/>
      <c r="R533" s="9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9"/>
      <c r="Q534" s="9"/>
      <c r="R534" s="9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9"/>
      <c r="Q535" s="9"/>
      <c r="R535" s="9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9"/>
      <c r="Q536" s="9"/>
      <c r="R536" s="9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9"/>
      <c r="Q537" s="9"/>
      <c r="R537" s="9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9"/>
      <c r="Q538" s="9"/>
      <c r="R538" s="9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9"/>
      <c r="Q539" s="9"/>
      <c r="R539" s="9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9"/>
      <c r="Q540" s="9"/>
      <c r="R540" s="9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9"/>
      <c r="Q541" s="9"/>
      <c r="R541" s="9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9"/>
      <c r="Q542" s="9"/>
      <c r="R542" s="9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9"/>
      <c r="Q543" s="9"/>
      <c r="R543" s="9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9"/>
      <c r="Q544" s="9"/>
      <c r="R544" s="9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9"/>
      <c r="Q545" s="9"/>
      <c r="R545" s="9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9"/>
      <c r="Q546" s="9"/>
      <c r="R546" s="9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9"/>
      <c r="Q547" s="9"/>
      <c r="R547" s="9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9"/>
      <c r="Q548" s="9"/>
      <c r="R548" s="9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9"/>
      <c r="Q549" s="9"/>
      <c r="R549" s="9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9"/>
      <c r="Q550" s="9"/>
      <c r="R550" s="9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9"/>
      <c r="Q551" s="9"/>
      <c r="R551" s="9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9"/>
      <c r="Q552" s="9"/>
      <c r="R552" s="9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9"/>
      <c r="Q553" s="9"/>
      <c r="R553" s="9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9"/>
      <c r="Q554" s="9"/>
      <c r="R554" s="9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9"/>
      <c r="Q555" s="9"/>
      <c r="R555" s="9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9"/>
      <c r="Q556" s="9"/>
      <c r="R556" s="9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9"/>
      <c r="Q557" s="9"/>
      <c r="R557" s="9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9"/>
      <c r="Q558" s="9"/>
      <c r="R558" s="9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9"/>
      <c r="Q559" s="9"/>
      <c r="R559" s="9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9"/>
      <c r="Q560" s="9"/>
      <c r="R560" s="9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9"/>
      <c r="Q561" s="9"/>
      <c r="R561" s="9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9"/>
      <c r="Q562" s="9"/>
      <c r="R562" s="9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9"/>
      <c r="Q563" s="9"/>
      <c r="R563" s="9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9"/>
      <c r="Q564" s="9"/>
      <c r="R564" s="9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9"/>
      <c r="Q565" s="9"/>
      <c r="R565" s="9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9"/>
      <c r="Q566" s="9"/>
      <c r="R566" s="9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9"/>
      <c r="Q567" s="9"/>
      <c r="R567" s="9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9"/>
      <c r="Q568" s="9"/>
      <c r="R568" s="9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9"/>
      <c r="Q569" s="9"/>
      <c r="R569" s="9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9"/>
      <c r="Q570" s="9"/>
      <c r="R570" s="9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9"/>
      <c r="Q571" s="9"/>
      <c r="R571" s="9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9"/>
      <c r="Q572" s="9"/>
      <c r="R572" s="9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9"/>
      <c r="Q573" s="9"/>
      <c r="R573" s="9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9"/>
      <c r="Q574" s="9"/>
      <c r="R574" s="9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9"/>
      <c r="Q575" s="9"/>
      <c r="R575" s="9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9"/>
      <c r="Q576" s="9"/>
      <c r="R576" s="9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9"/>
      <c r="Q577" s="9"/>
      <c r="R577" s="9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9"/>
      <c r="Q578" s="9"/>
      <c r="R578" s="9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9"/>
      <c r="Q579" s="9"/>
      <c r="R579" s="9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9"/>
      <c r="Q580" s="9"/>
      <c r="R580" s="9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9"/>
      <c r="Q581" s="9"/>
      <c r="R581" s="9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9"/>
      <c r="Q582" s="9"/>
      <c r="R582" s="9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9"/>
      <c r="Q583" s="9"/>
      <c r="R583" s="9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9"/>
      <c r="Q584" s="9"/>
      <c r="R584" s="9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9"/>
      <c r="Q585" s="9"/>
      <c r="R585" s="9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9"/>
      <c r="Q586" s="9"/>
      <c r="R586" s="9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9"/>
      <c r="Q587" s="9"/>
      <c r="R587" s="9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9"/>
      <c r="Q588" s="9"/>
      <c r="R588" s="9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9"/>
      <c r="Q589" s="9"/>
      <c r="R589" s="9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9"/>
      <c r="Q590" s="9"/>
      <c r="R590" s="9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9"/>
      <c r="Q591" s="9"/>
      <c r="R591" s="9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9"/>
      <c r="Q592" s="9"/>
      <c r="R592" s="9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9"/>
      <c r="Q593" s="9"/>
      <c r="R593" s="9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9"/>
      <c r="Q594" s="9"/>
      <c r="R594" s="9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9"/>
      <c r="Q595" s="9"/>
      <c r="R595" s="9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9"/>
      <c r="Q596" s="9"/>
      <c r="R596" s="9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9"/>
      <c r="Q597" s="9"/>
      <c r="R597" s="9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9"/>
      <c r="Q598" s="9"/>
      <c r="R598" s="9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9"/>
      <c r="Q599" s="9"/>
      <c r="R599" s="9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9"/>
      <c r="Q600" s="9"/>
      <c r="R600" s="9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9"/>
      <c r="Q601" s="9"/>
      <c r="R601" s="9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9"/>
      <c r="Q602" s="9"/>
      <c r="R602" s="9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9"/>
      <c r="Q603" s="9"/>
      <c r="R603" s="9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9"/>
      <c r="Q604" s="9"/>
      <c r="R604" s="9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9"/>
      <c r="Q605" s="9"/>
      <c r="R605" s="9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9"/>
      <c r="Q606" s="9"/>
      <c r="R606" s="9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9"/>
      <c r="Q607" s="9"/>
      <c r="R607" s="9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9"/>
      <c r="Q608" s="9"/>
      <c r="R608" s="9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9"/>
      <c r="Q609" s="9"/>
      <c r="R609" s="9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9"/>
      <c r="Q610" s="9"/>
      <c r="R610" s="9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9"/>
      <c r="Q611" s="9"/>
      <c r="R611" s="9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9"/>
      <c r="Q612" s="9"/>
      <c r="R612" s="9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9"/>
      <c r="Q613" s="9"/>
      <c r="R613" s="9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9"/>
      <c r="Q614" s="9"/>
      <c r="R614" s="9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9"/>
      <c r="Q615" s="9"/>
      <c r="R615" s="9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9"/>
      <c r="Q616" s="9"/>
      <c r="R616" s="9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9"/>
      <c r="Q617" s="9"/>
      <c r="R617" s="9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9"/>
      <c r="Q618" s="9"/>
      <c r="R618" s="9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9"/>
      <c r="Q619" s="9"/>
      <c r="R619" s="9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9"/>
      <c r="Q620" s="9"/>
      <c r="R620" s="9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9"/>
      <c r="Q621" s="9"/>
      <c r="R621" s="9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9"/>
      <c r="Q622" s="9"/>
      <c r="R622" s="9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9"/>
      <c r="Q623" s="9"/>
      <c r="R623" s="9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9"/>
      <c r="Q624" s="9"/>
      <c r="R624" s="9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9"/>
      <c r="Q625" s="9"/>
      <c r="R625" s="9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9"/>
      <c r="Q626" s="9"/>
      <c r="R626" s="9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9"/>
      <c r="Q627" s="9"/>
      <c r="R627" s="9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9"/>
      <c r="Q628" s="9"/>
      <c r="R628" s="9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9"/>
      <c r="Q629" s="9"/>
      <c r="R629" s="9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9"/>
      <c r="Q630" s="9"/>
      <c r="R630" s="9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9"/>
      <c r="Q631" s="9"/>
      <c r="R631" s="9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9"/>
      <c r="Q632" s="9"/>
      <c r="R632" s="9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9"/>
      <c r="Q633" s="9"/>
      <c r="R633" s="9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9"/>
      <c r="Q634" s="9"/>
      <c r="R634" s="9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9"/>
      <c r="Q635" s="9"/>
      <c r="R635" s="9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9"/>
      <c r="Q636" s="9"/>
      <c r="R636" s="9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9"/>
      <c r="Q637" s="9"/>
      <c r="R637" s="9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9"/>
      <c r="Q638" s="9"/>
      <c r="R638" s="9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9"/>
      <c r="Q639" s="9"/>
      <c r="R639" s="9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9"/>
      <c r="Q640" s="9"/>
      <c r="R640" s="9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9"/>
      <c r="Q641" s="9"/>
      <c r="R641" s="9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9"/>
      <c r="Q642" s="9"/>
      <c r="R642" s="9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9"/>
      <c r="Q643" s="9"/>
      <c r="R643" s="9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9"/>
      <c r="Q644" s="9"/>
      <c r="R644" s="9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9"/>
      <c r="Q645" s="9"/>
      <c r="R645" s="9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9"/>
      <c r="Q646" s="9"/>
      <c r="R646" s="9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9"/>
      <c r="Q647" s="9"/>
      <c r="R647" s="9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9"/>
      <c r="Q648" s="9"/>
      <c r="R648" s="9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9"/>
      <c r="Q649" s="9"/>
      <c r="R649" s="9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9"/>
      <c r="Q650" s="9"/>
      <c r="R650" s="9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9"/>
      <c r="Q651" s="9"/>
      <c r="R651" s="9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9"/>
      <c r="Q652" s="9"/>
      <c r="R652" s="9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9"/>
      <c r="Q653" s="9"/>
      <c r="R653" s="9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9"/>
      <c r="Q654" s="9"/>
      <c r="R654" s="9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9"/>
      <c r="Q655" s="9"/>
      <c r="R655" s="9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9"/>
      <c r="Q656" s="9"/>
      <c r="R656" s="9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9"/>
      <c r="Q657" s="9"/>
      <c r="R657" s="9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9"/>
      <c r="Q658" s="9"/>
      <c r="R658" s="9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9"/>
      <c r="Q659" s="9"/>
      <c r="R659" s="9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9"/>
      <c r="Q660" s="9"/>
      <c r="R660" s="9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9"/>
      <c r="Q661" s="9"/>
      <c r="R661" s="9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9"/>
      <c r="Q662" s="9"/>
      <c r="R662" s="9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9"/>
      <c r="Q663" s="9"/>
      <c r="R663" s="9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9"/>
      <c r="Q664" s="9"/>
      <c r="R664" s="9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9"/>
      <c r="Q665" s="9"/>
      <c r="R665" s="9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9"/>
      <c r="Q666" s="9"/>
      <c r="R666" s="9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9"/>
      <c r="Q667" s="9"/>
      <c r="R667" s="9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9"/>
      <c r="Q668" s="9"/>
      <c r="R668" s="9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9"/>
      <c r="Q669" s="9"/>
      <c r="R669" s="9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9"/>
      <c r="Q670" s="9"/>
      <c r="R670" s="9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9"/>
      <c r="Q671" s="9"/>
      <c r="R671" s="9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9"/>
      <c r="Q672" s="9"/>
      <c r="R672" s="9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9"/>
      <c r="Q673" s="9"/>
      <c r="R673" s="9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9"/>
      <c r="Q674" s="9"/>
      <c r="R674" s="9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9"/>
      <c r="Q675" s="9"/>
      <c r="R675" s="9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9"/>
      <c r="Q676" s="9"/>
      <c r="R676" s="9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9"/>
      <c r="Q677" s="9"/>
      <c r="R677" s="9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9"/>
      <c r="Q678" s="9"/>
      <c r="R678" s="9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9"/>
      <c r="Q679" s="9"/>
      <c r="R679" s="9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9"/>
      <c r="Q680" s="9"/>
      <c r="R680" s="9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9"/>
      <c r="Q681" s="9"/>
      <c r="R681" s="9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9"/>
      <c r="Q682" s="9"/>
      <c r="R682" s="9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9"/>
      <c r="Q683" s="9"/>
      <c r="R683" s="9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9"/>
      <c r="Q684" s="9"/>
      <c r="R684" s="9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9"/>
      <c r="Q685" s="9"/>
      <c r="R685" s="9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9"/>
      <c r="Q686" s="9"/>
      <c r="R686" s="9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9"/>
      <c r="Q687" s="9"/>
      <c r="R687" s="9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9"/>
      <c r="Q688" s="9"/>
      <c r="R688" s="9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9"/>
      <c r="Q689" s="9"/>
      <c r="R689" s="9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9"/>
      <c r="Q690" s="9"/>
      <c r="R690" s="9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9"/>
      <c r="Q691" s="9"/>
      <c r="R691" s="9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9"/>
      <c r="Q692" s="9"/>
      <c r="R692" s="9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9"/>
      <c r="Q693" s="9"/>
      <c r="R693" s="9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9"/>
      <c r="Q694" s="9"/>
      <c r="R694" s="9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9"/>
      <c r="Q695" s="9"/>
      <c r="R695" s="9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9"/>
      <c r="Q696" s="9"/>
      <c r="R696" s="9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9"/>
      <c r="Q697" s="9"/>
      <c r="R697" s="9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9"/>
      <c r="Q698" s="9"/>
      <c r="R698" s="9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9"/>
      <c r="Q699" s="9"/>
      <c r="R699" s="9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9"/>
      <c r="Q700" s="9"/>
      <c r="R700" s="9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9"/>
      <c r="Q701" s="9"/>
      <c r="R701" s="9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9"/>
      <c r="Q702" s="9"/>
      <c r="R702" s="9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9"/>
      <c r="Q703" s="9"/>
      <c r="R703" s="9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9"/>
      <c r="Q704" s="9"/>
      <c r="R704" s="9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9"/>
      <c r="Q705" s="9"/>
      <c r="R705" s="9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9"/>
      <c r="Q706" s="9"/>
      <c r="R706" s="9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9"/>
      <c r="Q707" s="9"/>
      <c r="R707" s="9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9"/>
      <c r="Q708" s="9"/>
      <c r="R708" s="9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9"/>
      <c r="Q709" s="9"/>
      <c r="R709" s="9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9"/>
      <c r="Q710" s="9"/>
      <c r="R710" s="9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9"/>
      <c r="Q711" s="9"/>
      <c r="R711" s="9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9"/>
      <c r="Q712" s="9"/>
      <c r="R712" s="9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9"/>
      <c r="Q713" s="9"/>
      <c r="R713" s="9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9"/>
      <c r="Q714" s="9"/>
      <c r="R714" s="9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9"/>
      <c r="Q715" s="9"/>
      <c r="R715" s="9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9"/>
      <c r="Q716" s="9"/>
      <c r="R716" s="9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9"/>
      <c r="Q717" s="9"/>
      <c r="R717" s="9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9"/>
      <c r="Q718" s="9"/>
      <c r="R718" s="9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9"/>
      <c r="Q719" s="9"/>
      <c r="R719" s="9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9"/>
      <c r="Q720" s="9"/>
      <c r="R720" s="9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9"/>
      <c r="Q721" s="9"/>
      <c r="R721" s="9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9"/>
      <c r="Q722" s="9"/>
      <c r="R722" s="9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9"/>
      <c r="Q723" s="9"/>
      <c r="R723" s="9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9"/>
      <c r="Q724" s="9"/>
      <c r="R724" s="9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9"/>
      <c r="Q725" s="9"/>
      <c r="R725" s="9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9"/>
      <c r="Q726" s="9"/>
      <c r="R726" s="9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9"/>
      <c r="Q727" s="9"/>
      <c r="R727" s="9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9"/>
      <c r="Q728" s="9"/>
      <c r="R728" s="9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9"/>
      <c r="Q729" s="9"/>
      <c r="R729" s="9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9"/>
      <c r="Q730" s="9"/>
      <c r="R730" s="9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9"/>
      <c r="Q731" s="9"/>
      <c r="R731" s="9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9"/>
      <c r="Q732" s="9"/>
      <c r="R732" s="9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9"/>
      <c r="Q733" s="9"/>
      <c r="R733" s="9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9"/>
      <c r="Q734" s="9"/>
      <c r="R734" s="9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9"/>
      <c r="Q735" s="9"/>
      <c r="R735" s="9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9"/>
      <c r="Q736" s="9"/>
      <c r="R736" s="9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9"/>
      <c r="Q737" s="9"/>
      <c r="R737" s="9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9"/>
      <c r="Q738" s="9"/>
      <c r="R738" s="9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9"/>
      <c r="Q739" s="9"/>
      <c r="R739" s="9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9"/>
      <c r="Q740" s="9"/>
      <c r="R740" s="9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9"/>
      <c r="Q741" s="9"/>
      <c r="R741" s="9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9"/>
      <c r="Q742" s="9"/>
      <c r="R742" s="9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9"/>
      <c r="Q743" s="9"/>
      <c r="R743" s="9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9"/>
      <c r="Q744" s="9"/>
      <c r="R744" s="9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9"/>
      <c r="Q745" s="9"/>
      <c r="R745" s="9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9"/>
      <c r="Q746" s="9"/>
      <c r="R746" s="9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9"/>
      <c r="Q747" s="9"/>
      <c r="R747" s="9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9"/>
      <c r="Q748" s="9"/>
      <c r="R748" s="9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9"/>
      <c r="Q749" s="9"/>
      <c r="R749" s="9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9"/>
      <c r="Q750" s="9"/>
      <c r="R750" s="9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9"/>
      <c r="Q751" s="9"/>
      <c r="R751" s="9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9"/>
      <c r="Q752" s="9"/>
      <c r="R752" s="9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9"/>
      <c r="Q753" s="9"/>
      <c r="R753" s="9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9"/>
      <c r="Q754" s="9"/>
      <c r="R754" s="9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9"/>
      <c r="Q755" s="9"/>
      <c r="R755" s="9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9"/>
      <c r="Q756" s="9"/>
      <c r="R756" s="9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9"/>
      <c r="Q757" s="9"/>
      <c r="R757" s="9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9"/>
      <c r="Q758" s="9"/>
      <c r="R758" s="9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9"/>
      <c r="Q759" s="9"/>
      <c r="R759" s="9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9"/>
      <c r="Q760" s="9"/>
      <c r="R760" s="9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9"/>
      <c r="Q761" s="9"/>
      <c r="R761" s="9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9"/>
      <c r="Q762" s="9"/>
      <c r="R762" s="9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9"/>
      <c r="Q763" s="9"/>
      <c r="R763" s="9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9"/>
      <c r="Q764" s="9"/>
      <c r="R764" s="9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9"/>
      <c r="Q765" s="9"/>
      <c r="R765" s="9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9"/>
      <c r="Q766" s="9"/>
      <c r="R766" s="9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9"/>
      <c r="Q767" s="9"/>
      <c r="R767" s="9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9"/>
      <c r="Q768" s="9"/>
      <c r="R768" s="9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9"/>
      <c r="Q769" s="9"/>
      <c r="R769" s="9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9"/>
      <c r="Q770" s="9"/>
      <c r="R770" s="9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9"/>
      <c r="Q771" s="9"/>
      <c r="R771" s="9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9"/>
      <c r="Q772" s="9"/>
      <c r="R772" s="9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9"/>
      <c r="Q773" s="9"/>
      <c r="R773" s="9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9"/>
      <c r="Q774" s="9"/>
      <c r="R774" s="9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9"/>
      <c r="Q775" s="9"/>
      <c r="R775" s="9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9"/>
      <c r="Q776" s="9"/>
      <c r="R776" s="9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9"/>
      <c r="Q777" s="9"/>
      <c r="R777" s="9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9"/>
      <c r="Q778" s="9"/>
      <c r="R778" s="9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9"/>
      <c r="Q779" s="9"/>
      <c r="R779" s="9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9"/>
      <c r="Q780" s="9"/>
      <c r="R780" s="9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9"/>
      <c r="Q781" s="9"/>
      <c r="R781" s="9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9"/>
      <c r="Q782" s="9"/>
      <c r="R782" s="9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9"/>
      <c r="Q783" s="9"/>
      <c r="R783" s="9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9"/>
      <c r="Q784" s="9"/>
      <c r="R784" s="9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9"/>
      <c r="Q785" s="9"/>
      <c r="R785" s="9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9"/>
      <c r="Q786" s="9"/>
      <c r="R786" s="9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9"/>
      <c r="Q787" s="9"/>
      <c r="R787" s="9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9"/>
      <c r="Q788" s="9"/>
      <c r="R788" s="9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9"/>
      <c r="Q789" s="9"/>
      <c r="R789" s="9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9"/>
      <c r="Q790" s="9"/>
      <c r="R790" s="9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9"/>
      <c r="Q791" s="9"/>
      <c r="R791" s="9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9"/>
      <c r="Q792" s="9"/>
      <c r="R792" s="9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9"/>
      <c r="Q793" s="9"/>
      <c r="R793" s="9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9"/>
      <c r="Q794" s="9"/>
      <c r="R794" s="9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9"/>
      <c r="Q795" s="9"/>
      <c r="R795" s="9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9"/>
      <c r="Q796" s="9"/>
      <c r="R796" s="9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9"/>
      <c r="Q797" s="9"/>
      <c r="R797" s="9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9"/>
      <c r="Q798" s="9"/>
      <c r="R798" s="9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9"/>
      <c r="Q799" s="9"/>
      <c r="R799" s="9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9"/>
      <c r="Q800" s="9"/>
      <c r="R800" s="9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9"/>
      <c r="Q801" s="9"/>
      <c r="R801" s="9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9"/>
      <c r="Q802" s="9"/>
      <c r="R802" s="9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9"/>
      <c r="Q803" s="9"/>
      <c r="R803" s="9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9"/>
      <c r="Q804" s="9"/>
      <c r="R804" s="9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9"/>
      <c r="Q805" s="9"/>
      <c r="R805" s="9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9"/>
      <c r="Q806" s="9"/>
      <c r="R806" s="9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9"/>
      <c r="Q807" s="9"/>
      <c r="R807" s="9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9"/>
      <c r="Q808" s="9"/>
      <c r="R808" s="9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9"/>
      <c r="Q809" s="9"/>
      <c r="R809" s="9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9"/>
      <c r="Q810" s="9"/>
      <c r="R810" s="9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9"/>
      <c r="Q811" s="9"/>
      <c r="R811" s="9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9"/>
      <c r="Q812" s="9"/>
      <c r="R812" s="9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9"/>
      <c r="Q813" s="9"/>
      <c r="R813" s="9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9"/>
      <c r="Q814" s="9"/>
      <c r="R814" s="9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9"/>
      <c r="Q815" s="9"/>
      <c r="R815" s="9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9"/>
      <c r="Q816" s="9"/>
      <c r="R816" s="9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9"/>
      <c r="Q817" s="9"/>
      <c r="R817" s="9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9"/>
      <c r="Q818" s="9"/>
      <c r="R818" s="9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9"/>
      <c r="Q819" s="9"/>
      <c r="R819" s="9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9"/>
      <c r="Q820" s="9"/>
      <c r="R820" s="9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9"/>
      <c r="Q821" s="9"/>
      <c r="R821" s="9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9"/>
      <c r="Q822" s="9"/>
      <c r="R822" s="9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9"/>
      <c r="Q823" s="9"/>
      <c r="R823" s="9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9"/>
      <c r="Q824" s="9"/>
      <c r="R824" s="9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9"/>
      <c r="Q825" s="9"/>
      <c r="R825" s="9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9"/>
      <c r="Q826" s="9"/>
      <c r="R826" s="9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9"/>
      <c r="Q827" s="9"/>
      <c r="R827" s="9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9"/>
      <c r="Q828" s="9"/>
      <c r="R828" s="9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9"/>
      <c r="Q829" s="9"/>
      <c r="R829" s="9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9"/>
      <c r="Q830" s="9"/>
      <c r="R830" s="9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9"/>
      <c r="Q831" s="9"/>
      <c r="R831" s="9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9"/>
      <c r="Q832" s="9"/>
      <c r="R832" s="9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9"/>
      <c r="Q833" s="9"/>
      <c r="R833" s="9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9"/>
      <c r="Q834" s="9"/>
      <c r="R834" s="9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9"/>
      <c r="Q835" s="9"/>
      <c r="R835" s="9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9"/>
      <c r="Q836" s="9"/>
      <c r="R836" s="9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9"/>
      <c r="Q837" s="9"/>
      <c r="R837" s="9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9"/>
      <c r="Q838" s="9"/>
      <c r="R838" s="9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9"/>
      <c r="Q839" s="9"/>
      <c r="R839" s="9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9"/>
      <c r="Q840" s="9"/>
      <c r="R840" s="9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9"/>
      <c r="Q841" s="9"/>
      <c r="R841" s="9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9"/>
      <c r="Q842" s="9"/>
      <c r="R842" s="9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9"/>
      <c r="Q843" s="9"/>
      <c r="R843" s="9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9"/>
      <c r="Q844" s="9"/>
      <c r="R844" s="9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9"/>
      <c r="Q845" s="9"/>
      <c r="R845" s="9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9"/>
      <c r="Q846" s="9"/>
      <c r="R846" s="9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9"/>
      <c r="Q847" s="9"/>
      <c r="R847" s="9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9"/>
      <c r="Q848" s="9"/>
      <c r="R848" s="9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9"/>
      <c r="Q849" s="9"/>
      <c r="R849" s="9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9"/>
      <c r="Q850" s="9"/>
      <c r="R850" s="9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9"/>
      <c r="Q851" s="9"/>
      <c r="R851" s="9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9"/>
      <c r="Q852" s="9"/>
      <c r="R852" s="9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9"/>
      <c r="Q853" s="9"/>
      <c r="R853" s="9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9"/>
      <c r="Q854" s="9"/>
      <c r="R854" s="9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9"/>
      <c r="Q855" s="9"/>
      <c r="R855" s="9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9"/>
      <c r="Q856" s="9"/>
      <c r="R856" s="9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9"/>
      <c r="Q857" s="9"/>
      <c r="R857" s="9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9"/>
      <c r="Q858" s="9"/>
      <c r="R858" s="9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9"/>
      <c r="Q859" s="9"/>
      <c r="R859" s="9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9"/>
      <c r="Q860" s="9"/>
      <c r="R860" s="9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9"/>
      <c r="Q861" s="9"/>
      <c r="R861" s="9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9"/>
      <c r="Q862" s="9"/>
      <c r="R862" s="9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9"/>
      <c r="Q863" s="9"/>
      <c r="R863" s="9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9"/>
      <c r="Q864" s="9"/>
      <c r="R864" s="9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9"/>
      <c r="Q865" s="9"/>
      <c r="R865" s="9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9"/>
      <c r="Q866" s="9"/>
      <c r="R866" s="9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9"/>
      <c r="Q867" s="9"/>
      <c r="R867" s="9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9"/>
      <c r="Q868" s="9"/>
      <c r="R868" s="9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9"/>
      <c r="Q869" s="9"/>
      <c r="R869" s="9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9"/>
      <c r="Q870" s="9"/>
      <c r="R870" s="9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9"/>
      <c r="Q871" s="9"/>
      <c r="R871" s="9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9"/>
      <c r="Q872" s="9"/>
      <c r="R872" s="9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9"/>
      <c r="Q873" s="9"/>
      <c r="R873" s="9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9"/>
      <c r="Q874" s="9"/>
      <c r="R874" s="9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9"/>
      <c r="Q875" s="9"/>
      <c r="R875" s="9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9"/>
      <c r="Q876" s="9"/>
      <c r="R876" s="9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9"/>
      <c r="Q877" s="9"/>
      <c r="R877" s="9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9"/>
      <c r="Q878" s="9"/>
      <c r="R878" s="9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9"/>
      <c r="Q879" s="9"/>
      <c r="R879" s="9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9"/>
      <c r="Q880" s="9"/>
      <c r="R880" s="9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9"/>
      <c r="Q881" s="9"/>
      <c r="R881" s="9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9"/>
      <c r="Q882" s="9"/>
      <c r="R882" s="9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9"/>
      <c r="Q883" s="9"/>
      <c r="R883" s="9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9"/>
      <c r="Q884" s="9"/>
      <c r="R884" s="9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9"/>
      <c r="Q885" s="9"/>
      <c r="R885" s="9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9"/>
      <c r="Q886" s="9"/>
      <c r="R886" s="9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9"/>
      <c r="Q887" s="9"/>
      <c r="R887" s="9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9"/>
      <c r="Q888" s="9"/>
      <c r="R888" s="9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9"/>
      <c r="Q889" s="9"/>
      <c r="R889" s="9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9"/>
      <c r="Q890" s="9"/>
      <c r="R890" s="9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9"/>
      <c r="Q891" s="9"/>
      <c r="R891" s="9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9"/>
      <c r="Q892" s="9"/>
      <c r="R892" s="9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9"/>
      <c r="Q893" s="9"/>
      <c r="R893" s="9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9"/>
      <c r="Q894" s="9"/>
      <c r="R894" s="9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9"/>
      <c r="Q895" s="9"/>
      <c r="R895" s="9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9"/>
      <c r="Q896" s="9"/>
      <c r="R896" s="9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9"/>
      <c r="Q897" s="9"/>
      <c r="R897" s="9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9"/>
      <c r="Q898" s="9"/>
      <c r="R898" s="9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9"/>
      <c r="Q899" s="9"/>
      <c r="R899" s="9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9"/>
      <c r="Q900" s="9"/>
      <c r="R900" s="9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9"/>
      <c r="Q901" s="9"/>
      <c r="R901" s="9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9"/>
      <c r="Q902" s="9"/>
      <c r="R902" s="9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9"/>
      <c r="Q903" s="9"/>
      <c r="R903" s="9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9"/>
      <c r="Q904" s="9"/>
      <c r="R904" s="9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9"/>
      <c r="Q905" s="9"/>
      <c r="R905" s="9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9"/>
      <c r="Q906" s="9"/>
      <c r="R906" s="9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9"/>
      <c r="Q907" s="9"/>
      <c r="R907" s="9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9"/>
      <c r="Q908" s="9"/>
      <c r="R908" s="9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9"/>
      <c r="Q909" s="9"/>
      <c r="R909" s="9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9"/>
      <c r="Q910" s="9"/>
      <c r="R910" s="9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9"/>
      <c r="Q911" s="9"/>
      <c r="R911" s="9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9"/>
      <c r="Q912" s="9"/>
      <c r="R912" s="9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9"/>
      <c r="Q913" s="9"/>
      <c r="R913" s="9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9"/>
      <c r="Q914" s="9"/>
      <c r="R914" s="9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9"/>
      <c r="Q915" s="9"/>
      <c r="R915" s="9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9"/>
      <c r="Q916" s="9"/>
      <c r="R916" s="9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9"/>
      <c r="Q917" s="9"/>
      <c r="R917" s="9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9"/>
      <c r="Q918" s="9"/>
      <c r="R918" s="9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9"/>
      <c r="Q919" s="9"/>
      <c r="R919" s="9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9"/>
      <c r="Q920" s="9"/>
      <c r="R920" s="9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9"/>
      <c r="Q921" s="9"/>
      <c r="R921" s="9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9"/>
      <c r="Q922" s="9"/>
      <c r="R922" s="9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9"/>
      <c r="Q923" s="9"/>
      <c r="R923" s="9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9"/>
      <c r="Q924" s="9"/>
      <c r="R924" s="9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9"/>
      <c r="Q925" s="9"/>
      <c r="R925" s="9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9"/>
      <c r="Q926" s="9"/>
      <c r="R926" s="9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9"/>
      <c r="Q927" s="9"/>
      <c r="R927" s="9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9"/>
      <c r="Q928" s="9"/>
      <c r="R928" s="9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9"/>
      <c r="Q929" s="9"/>
      <c r="R929" s="9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9"/>
      <c r="Q930" s="9"/>
      <c r="R930" s="9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9"/>
      <c r="Q931" s="9"/>
      <c r="R931" s="9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9"/>
      <c r="Q932" s="9"/>
      <c r="R932" s="9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9"/>
      <c r="Q933" s="9"/>
      <c r="R933" s="9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9"/>
      <c r="Q934" s="9"/>
      <c r="R934" s="9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9"/>
      <c r="Q935" s="9"/>
      <c r="R935" s="9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9"/>
      <c r="Q936" s="9"/>
      <c r="R936" s="9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9"/>
      <c r="Q937" s="9"/>
      <c r="R937" s="9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9"/>
      <c r="Q938" s="9"/>
      <c r="R938" s="9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9"/>
      <c r="Q939" s="9"/>
      <c r="R939" s="9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9"/>
      <c r="Q940" s="9"/>
      <c r="R940" s="9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9"/>
      <c r="Q941" s="9"/>
      <c r="R941" s="9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9"/>
      <c r="Q942" s="9"/>
      <c r="R942" s="9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9"/>
      <c r="Q943" s="9"/>
      <c r="R943" s="9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9"/>
      <c r="Q944" s="9"/>
      <c r="R944" s="9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9"/>
      <c r="Q945" s="9"/>
      <c r="R945" s="9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9"/>
      <c r="Q946" s="9"/>
      <c r="R946" s="9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9"/>
      <c r="Q947" s="9"/>
      <c r="R947" s="9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9"/>
      <c r="Q948" s="9"/>
      <c r="R948" s="9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9"/>
      <c r="Q949" s="9"/>
      <c r="R949" s="9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9"/>
      <c r="Q950" s="9"/>
      <c r="R950" s="9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9"/>
      <c r="Q951" s="9"/>
      <c r="R951" s="9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9"/>
      <c r="Q952" s="9"/>
      <c r="R952" s="9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9"/>
      <c r="Q953" s="9"/>
      <c r="R953" s="9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9"/>
      <c r="Q954" s="9"/>
      <c r="R954" s="9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9"/>
      <c r="Q955" s="9"/>
      <c r="R955" s="9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9"/>
      <c r="Q956" s="9"/>
      <c r="R956" s="9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9"/>
      <c r="Q957" s="9"/>
      <c r="R957" s="9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9"/>
      <c r="Q958" s="9"/>
      <c r="R958" s="9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9"/>
      <c r="Q959" s="9"/>
      <c r="R959" s="9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9"/>
      <c r="Q960" s="9"/>
      <c r="R960" s="9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9"/>
      <c r="Q961" s="9"/>
      <c r="R961" s="9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9"/>
      <c r="Q962" s="9"/>
      <c r="R962" s="9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9"/>
      <c r="Q963" s="9"/>
      <c r="R963" s="9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9"/>
      <c r="Q964" s="9"/>
      <c r="R964" s="9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9"/>
      <c r="Q965" s="9"/>
      <c r="R965" s="9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9"/>
      <c r="Q966" s="9"/>
      <c r="R966" s="9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9"/>
      <c r="Q967" s="9"/>
      <c r="R967" s="9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9"/>
      <c r="Q968" s="9"/>
      <c r="R968" s="9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9"/>
      <c r="Q969" s="9"/>
      <c r="R969" s="9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9"/>
      <c r="Q970" s="9"/>
      <c r="R970" s="9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9"/>
      <c r="Q971" s="9"/>
      <c r="R971" s="9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9"/>
      <c r="Q972" s="9"/>
      <c r="R972" s="9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9"/>
      <c r="Q973" s="9"/>
      <c r="R973" s="9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9"/>
      <c r="Q974" s="9"/>
      <c r="R974" s="9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9"/>
      <c r="Q975" s="9"/>
      <c r="R975" s="9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9"/>
      <c r="Q976" s="9"/>
      <c r="R976" s="9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9"/>
      <c r="Q977" s="9"/>
      <c r="R977" s="9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9"/>
      <c r="Q978" s="9"/>
      <c r="R978" s="9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9"/>
      <c r="Q979" s="9"/>
      <c r="R979" s="9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9"/>
      <c r="Q980" s="9"/>
      <c r="R980" s="9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9"/>
      <c r="Q981" s="9"/>
      <c r="R981" s="9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9"/>
      <c r="Q982" s="9"/>
      <c r="R982" s="9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9"/>
      <c r="Q983" s="9"/>
      <c r="R983" s="9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9"/>
      <c r="Q984" s="9"/>
      <c r="R984" s="9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9"/>
      <c r="Q985" s="9"/>
      <c r="R985" s="9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9"/>
      <c r="Q986" s="9"/>
      <c r="R986" s="9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9"/>
      <c r="Q987" s="9"/>
      <c r="R987" s="9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9"/>
      <c r="Q988" s="9"/>
      <c r="R988" s="9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9"/>
      <c r="Q989" s="9"/>
      <c r="R989" s="9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9"/>
      <c r="Q990" s="9"/>
      <c r="R990" s="9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9"/>
      <c r="Q991" s="9"/>
      <c r="R991" s="9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9"/>
      <c r="Q992" s="9"/>
      <c r="R992" s="9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9"/>
      <c r="Q993" s="9"/>
      <c r="R993" s="9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9"/>
      <c r="Q994" s="9"/>
      <c r="R994" s="9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9"/>
      <c r="Q995" s="9"/>
      <c r="R995" s="9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9"/>
      <c r="Q996" s="9"/>
      <c r="R996" s="9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9"/>
      <c r="Q997" s="9"/>
      <c r="R997" s="9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9"/>
      <c r="Q998" s="9"/>
      <c r="R998" s="9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9"/>
      <c r="Q999" s="9"/>
      <c r="R999" s="9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9"/>
      <c r="Q1000" s="9"/>
      <c r="R1000" s="9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autoFilter ref="$A$1:$AD$1000"/>
  <printOptions/>
  <pageMargins bottom="0.75" footer="0.0" header="0.0" left="0.7" right="0.7" top="0.75"/>
  <pageSetup orientation="landscape"/>
  <drawing r:id="rId1"/>
</worksheet>
</file>