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  <sheet state="visible" name="Sheet1" sheetId="2" r:id="rId5"/>
    <sheet state="visible" name="CONCENTRADO_COMPLETO" sheetId="3" r:id="rId6"/>
  </sheets>
  <definedNames>
    <definedName hidden="1" localSheetId="0" name="_xlnm._FilterDatabase">Sheet2!$A$1:$AB$987</definedName>
    <definedName hidden="1" localSheetId="2" name="_xlnm._FilterDatabase">CONCENTRADO_COMPLETO!$A$1:$AD$1000</definedName>
  </definedNames>
  <calcPr/>
</workbook>
</file>

<file path=xl/sharedStrings.xml><?xml version="1.0" encoding="utf-8"?>
<sst xmlns="http://schemas.openxmlformats.org/spreadsheetml/2006/main" count="5592" uniqueCount="257">
  <si>
    <t>Cuarto</t>
  </si>
  <si>
    <t>Team</t>
  </si>
  <si>
    <t>QB</t>
  </si>
  <si>
    <t>Nombre QB</t>
  </si>
  <si>
    <t>Equipo Jugador</t>
  </si>
  <si>
    <t>Jersey</t>
  </si>
  <si>
    <t>Nombre jugador</t>
  </si>
  <si>
    <t>Tipo</t>
  </si>
  <si>
    <t>Play type</t>
  </si>
  <si>
    <t>Tipo Jugada</t>
  </si>
  <si>
    <t>Down</t>
  </si>
  <si>
    <t>DST</t>
  </si>
  <si>
    <t>Yarda Inicial</t>
  </si>
  <si>
    <t>Yarda Final</t>
  </si>
  <si>
    <t>Yardas G/P</t>
  </si>
  <si>
    <t>Resultado</t>
  </si>
  <si>
    <t>Resultado DST</t>
  </si>
  <si>
    <t>EPA BEFORE</t>
  </si>
  <si>
    <t>EPA AFTER</t>
  </si>
  <si>
    <t>EPA</t>
  </si>
  <si>
    <t>Jersey tacleador</t>
  </si>
  <si>
    <t>Equipo tacleo</t>
  </si>
  <si>
    <t>Nombre tacleador</t>
  </si>
  <si>
    <t>Play-By-Play</t>
  </si>
  <si>
    <t>MTY Score</t>
  </si>
  <si>
    <t>UANL Score</t>
  </si>
  <si>
    <t>UANL</t>
  </si>
  <si>
    <t/>
  </si>
  <si>
    <t>MTY</t>
  </si>
  <si>
    <t>Roberto Medina</t>
  </si>
  <si>
    <t>Equipos especiales</t>
  </si>
  <si>
    <t>Kickoff</t>
  </si>
  <si>
    <t>Touchback</t>
  </si>
  <si>
    <t>Roberto Medina kicks off 65 yardas, Touchback</t>
  </si>
  <si>
    <t xml:space="preserve">Sergio Resendiz </t>
  </si>
  <si>
    <t xml:space="preserve">Ángel Alvarado </t>
  </si>
  <si>
    <t>Regular</t>
  </si>
  <si>
    <t>Run</t>
  </si>
  <si>
    <t>Carrera</t>
  </si>
  <si>
    <t>1er</t>
  </si>
  <si>
    <t>TD</t>
  </si>
  <si>
    <t>Ángel Alvarado para 75 yardas, TD</t>
  </si>
  <si>
    <t>Reynaldo Adolfo Blanco Palomo</t>
  </si>
  <si>
    <t>PAT</t>
  </si>
  <si>
    <t>PAT fallada</t>
  </si>
  <si>
    <t>Reynaldo Adolfo Blanco Palomo PAT fallada</t>
  </si>
  <si>
    <t>Fernando Tonda</t>
  </si>
  <si>
    <t>RK</t>
  </si>
  <si>
    <t>1er down</t>
  </si>
  <si>
    <t>Gabriel Caballero Parra</t>
  </si>
  <si>
    <t>Reynaldo Adolfo Blanco Palomo kicks off 62 yardas, Regreso por Fernando Tonda para 17 yardas</t>
  </si>
  <si>
    <t xml:space="preserve">Fernando Sarabia </t>
  </si>
  <si>
    <t xml:space="preserve">Víctor Palacios </t>
  </si>
  <si>
    <t>Pase</t>
  </si>
  <si>
    <t>2do down</t>
  </si>
  <si>
    <t>Juan Pablo Mandujano Castruita</t>
  </si>
  <si>
    <t>Fernando Sarabia Pase completo para Víctor Palacios para 6 yardas</t>
  </si>
  <si>
    <t xml:space="preserve">Miguel Ángel Lozano </t>
  </si>
  <si>
    <t>2do</t>
  </si>
  <si>
    <t>Rogelio Cepeda García</t>
  </si>
  <si>
    <t>Fernando Sarabia Pase completo para Miguel Ángel Lozano para 10 yardas</t>
  </si>
  <si>
    <t xml:space="preserve">Alejandro Cruz </t>
  </si>
  <si>
    <t>Gael Reyes Grande</t>
  </si>
  <si>
    <t>Alejandro Cruz para -4 yardas, 2do down</t>
  </si>
  <si>
    <t>3er down</t>
  </si>
  <si>
    <t>Edwyn De Jesús Caballero Salais</t>
  </si>
  <si>
    <t>Fernando Sarabia Pase completo para Alejandro Cruz para 9 yardas</t>
  </si>
  <si>
    <t xml:space="preserve">Diego Blade </t>
  </si>
  <si>
    <t>Sack</t>
  </si>
  <si>
    <t>3ro</t>
  </si>
  <si>
    <t>4to down</t>
  </si>
  <si>
    <t xml:space="preserve">Fernando Sarabia capturado por Diego Blade </t>
  </si>
  <si>
    <t xml:space="preserve">Mauricio Fernández Salazar  </t>
  </si>
  <si>
    <t>Punt</t>
  </si>
  <si>
    <t>4to</t>
  </si>
  <si>
    <t>Recepción libre</t>
  </si>
  <si>
    <t>Mauricio Fernández Salazar  Punt 53 yardas, Recepción libre</t>
  </si>
  <si>
    <t>Eduardo Martínez Alvarado</t>
  </si>
  <si>
    <t>Eduardo Roiz Barrón</t>
  </si>
  <si>
    <t>Eduardo Martínez Alvaradopara 4 yardas, 2do down</t>
  </si>
  <si>
    <t>Patricio Satisteban Villarreal</t>
  </si>
  <si>
    <t>Eduardo Martínez Alvaradopara 17 yardas, 1er down</t>
  </si>
  <si>
    <t>Ángel Alvarado para 6 yardas, 2do down</t>
  </si>
  <si>
    <t>Luis Torres Fierro</t>
  </si>
  <si>
    <t>Ángel Alvarado para 4 yardas, 1er down</t>
  </si>
  <si>
    <t xml:space="preserve">Jorge Luis Chaib De León </t>
  </si>
  <si>
    <t>Mauricio Martínez García</t>
  </si>
  <si>
    <t>Sergio Resendiz Pase completo para Jorge Luis Chaib De León para 6 yardas</t>
  </si>
  <si>
    <t>Eduardo Martínez Alvaradopara 4 yardas, 1er down</t>
  </si>
  <si>
    <t>Renzo Bibiano Aguirre</t>
  </si>
  <si>
    <t>Ángel Alvarado para 3 yardas, 2do down</t>
  </si>
  <si>
    <t>Ángel Alvarado para 3 yardas, 3er down</t>
  </si>
  <si>
    <t>Sergio Resendiz para -2 yardas, 4to down</t>
  </si>
  <si>
    <t xml:space="preserve">Reynaldo Adolfo Blanco Palomo </t>
  </si>
  <si>
    <t>Field goal</t>
  </si>
  <si>
    <t>FG bueno</t>
  </si>
  <si>
    <t>Reynaldo Adolfo Blanco Palomo FG bueno</t>
  </si>
  <si>
    <t>Emiliano García Ortega</t>
  </si>
  <si>
    <t>Reynaldo Adolfo Blanco Palomo kicks off 61 yardas, Regreso por Fernando Tonda para 22 yardas</t>
  </si>
  <si>
    <t>Benjamín Huez Santacruz</t>
  </si>
  <si>
    <t>Alejandro Cruz para 0 yardas, 2do down</t>
  </si>
  <si>
    <t>Fernando Sarabia Pase completo para Víctor Palacios para 20 yardas</t>
  </si>
  <si>
    <t xml:space="preserve">Mauricio Santos </t>
  </si>
  <si>
    <t>Patricio de la Rosa Pérez</t>
  </si>
  <si>
    <t>Fernando Sarabia Pase completo para Mauricio Santos para 16 yardas</t>
  </si>
  <si>
    <t>Fernando Sarabia para 9 yardas</t>
  </si>
  <si>
    <t>Castigo a la ofensiva</t>
  </si>
  <si>
    <t>Castigo a la ofensiva, -5 yardas</t>
  </si>
  <si>
    <t>Pase INT</t>
  </si>
  <si>
    <t>INT</t>
  </si>
  <si>
    <t>Daniel Santos Guerra</t>
  </si>
  <si>
    <t>Fernando Sarabia Pase INT por Juan Pablo Mandujano Castruita</t>
  </si>
  <si>
    <t>Adrián Patricio Flores Guajardo</t>
  </si>
  <si>
    <t>Ángel Alvarado para 4 yardas, 2do down</t>
  </si>
  <si>
    <t>Rodrigo Gabriel Aceves Arce</t>
  </si>
  <si>
    <t>Ángel Alvarado para 2 yardas, 3er down</t>
  </si>
  <si>
    <t xml:space="preserve">Marco Vinicio García </t>
  </si>
  <si>
    <t>Pase incompleto</t>
  </si>
  <si>
    <t xml:space="preserve">Sergio Resendiz Pase incompleto intencionado para Marco Vinicio García </t>
  </si>
  <si>
    <t xml:space="preserve">Luis Ángel Olvera </t>
  </si>
  <si>
    <t>Luis Ángel Olvera Punt 49 yardas, Recepción libre</t>
  </si>
  <si>
    <t>Castigo a la ofensiva, -10 yardas</t>
  </si>
  <si>
    <t>Fernando Sarabia Pase completo para Miguel Ángel Lozano para 12 yardas</t>
  </si>
  <si>
    <t>Jonathan Farrel Montes Guzmán</t>
  </si>
  <si>
    <t>Alejandro Cruz para 1 yardas, 2do down</t>
  </si>
  <si>
    <t>Edgar Tadeo Bocado Cepeda</t>
  </si>
  <si>
    <t>Fernando Sarabia para 4 yardas, 3er down</t>
  </si>
  <si>
    <t xml:space="preserve">Fernando Sarabia Pase incompleto intencionado para Víctor Palacios </t>
  </si>
  <si>
    <t xml:space="preserve">Aldo Herrera </t>
  </si>
  <si>
    <t>RP</t>
  </si>
  <si>
    <t>Rubén David Rodríguez Treviño</t>
  </si>
  <si>
    <t>Mauricio Fernández Salazar Punt 46 yardas, Regreso de Aldo Herrera  para 6 yardas</t>
  </si>
  <si>
    <t>Ángel Alvarado para 2 yardas, 2do down</t>
  </si>
  <si>
    <t xml:space="preserve">Sergio Resendiz Pase incompleto intencionado para Aldo Herrera </t>
  </si>
  <si>
    <t>Sergio Resendiz Pase completo para Luis Ángel Olvera para 25 yardas</t>
  </si>
  <si>
    <t>Diogo Fernandez Zanchet</t>
  </si>
  <si>
    <t>Sergio Resendiz para 5 yardas, 3er down</t>
  </si>
  <si>
    <t>Ángel Gabriel Alvarado Nervaez</t>
  </si>
  <si>
    <t>Emilio Carrillo Ceballos</t>
  </si>
  <si>
    <t>Ángel Alvarado para 8 yardas, 1er down</t>
  </si>
  <si>
    <t>Sergio Resendiz para 6 yardas, 3er down</t>
  </si>
  <si>
    <t>Christian Espinosa Vázquez</t>
  </si>
  <si>
    <t>Sergio Resendiz Pase incompleto intencionado para Christian Espinosa Vázquez</t>
  </si>
  <si>
    <t>Reynaldo Adolfo Blanco Palomo kicks off 62 yardas, Regreso por Fernando Tonda para 20 yardas</t>
  </si>
  <si>
    <t>Alejandro Elizondo González</t>
  </si>
  <si>
    <t>Fernando Sarabia Pase completo para Alejandro Elizondo Gonzálezpara 77 yardas</t>
  </si>
  <si>
    <t>PAT exitosa</t>
  </si>
  <si>
    <t>Roberto Medina PAT exitosa</t>
  </si>
  <si>
    <t>Jorge Luis Chaib De León</t>
  </si>
  <si>
    <t>Roberto Medina kicks off 65 yardas, Regreso por Jorge Luis Chaib De León para 28 yardas</t>
  </si>
  <si>
    <t>Félix de León Rodríguez</t>
  </si>
  <si>
    <t>Ángel Alvarado para 0 yardas, 2do down</t>
  </si>
  <si>
    <t>Ángel Alvarado para 5 yardas, 3er down</t>
  </si>
  <si>
    <t>Sergio Resendiz Pase completo para Marco Vinicio García para 12 yardas</t>
  </si>
  <si>
    <t>Jorge Luis Chaib De León para 0 yardas, 2do down</t>
  </si>
  <si>
    <t>Jorge Luis Chaib De León para 0 yardas, 3er down</t>
  </si>
  <si>
    <t>Sergio Resendiz para 4 yardas, 4to down</t>
  </si>
  <si>
    <t>Muffed punt</t>
  </si>
  <si>
    <t>Luis Ángel Olvera Punt 40 yardas, Muffed punt Balón recuperado a la defensiva</t>
  </si>
  <si>
    <t>Sergio Resendiz Pase completo para Luis Ángel Olvera para 4 yardas</t>
  </si>
  <si>
    <t>Sergio Resendiz para 5 yardas, 1er down</t>
  </si>
  <si>
    <t>Castigo a la defensiva</t>
  </si>
  <si>
    <t>Castigo a la defensiva, 6 yardas</t>
  </si>
  <si>
    <t>Castigo a la ofensiva, -15 yardas</t>
  </si>
  <si>
    <t>Sergio Resendiz Pase completo para Ángel Alvarado para 16 yardas</t>
  </si>
  <si>
    <t>Eduardo Martínez Alvaradopara 5 yardas, TD</t>
  </si>
  <si>
    <t>Reynaldo Adolfo Blanco Palomo PAT exitosa</t>
  </si>
  <si>
    <t>Regreso</t>
  </si>
  <si>
    <t>Reynaldo Adolfo Blanco Palomo kicks off 53 yardas, Regreso por Alejandro Cruz  para 23 yardas</t>
  </si>
  <si>
    <t>Alejandro Cruz para 5 yardas, 2do down</t>
  </si>
  <si>
    <t>Fernando Sarabia para 2 yardas, 3er down</t>
  </si>
  <si>
    <t>Wilfredo Fausto Valdez</t>
  </si>
  <si>
    <t>Sergio Miguel Velázquez García</t>
  </si>
  <si>
    <t>Fernando Sarabia Pase completo para Wilfredo Fausto Valdez para 16 yardas</t>
  </si>
  <si>
    <t>Luis Ángel Cavazos Méndez</t>
  </si>
  <si>
    <t>Fernando Sarabia Pase completo para Víctor Palacios para 25 yardas</t>
  </si>
  <si>
    <t xml:space="preserve">Roberto Medina </t>
  </si>
  <si>
    <t>Roberto Medina FG bueno</t>
  </si>
  <si>
    <t>Enrique Navarrete Alanís</t>
  </si>
  <si>
    <t>Reynaldo Adolfo Blanco Palomo kicks off 59 yardas, Regreso por Alejandro Cruz  para 13 yardas</t>
  </si>
  <si>
    <t>Fernando Sarabia Pase completo para Víctor Palacios para 11 yardas</t>
  </si>
  <si>
    <t>Alejandro Cruz para 4 yardas, 2do down</t>
  </si>
  <si>
    <t>Fernando Sarabia Pase incompleto intencionado para Fernando Tonda</t>
  </si>
  <si>
    <t>Fernando Sarabia Pase completo para Alejandro Elizondo Gonzálezpara 66 yardas</t>
  </si>
  <si>
    <t>Repetir KO</t>
  </si>
  <si>
    <t>Ernesto Guevara Treviño</t>
  </si>
  <si>
    <t>Roberto Medina kicks off 64 yardas, Regreso por Aldo Herrera  para 28 yardas</t>
  </si>
  <si>
    <t>Sergio Resendiz Pase incompleto</t>
  </si>
  <si>
    <t>Ángel Alvarado para 4 yardas, 3er down</t>
  </si>
  <si>
    <t>Castigo a la defensiva, 4 yardas</t>
  </si>
  <si>
    <t>Gabriel Rivera Castillo</t>
  </si>
  <si>
    <t>Eduardo Martínez Alvaradopara 3 yardas, 2do down</t>
  </si>
  <si>
    <t>Eduardo Martínez Alvaradopara 4 yardas, 3er down</t>
  </si>
  <si>
    <t>Sergio Resendiz para 1 yardas, 4to down</t>
  </si>
  <si>
    <t>Cambio posesión</t>
  </si>
  <si>
    <t>Ángel Alvarado para 0 yardas, Cambio posesión</t>
  </si>
  <si>
    <t>Fernando Sarabia Pase incompleto intencionado para Alejandro Elizondo González</t>
  </si>
  <si>
    <t>Alejandro Cruz para 4 yardas, 3er down</t>
  </si>
  <si>
    <t xml:space="preserve">Fernando Sarabia Pase incompleto intencionado para Mauricio Santos </t>
  </si>
  <si>
    <t xml:space="preserve">Mauricio Fernández Salazar </t>
  </si>
  <si>
    <t>Mauricio Fernández Salazar Punt 52 yardas, Regreso de Aldo Herrera  para 31 yardas</t>
  </si>
  <si>
    <t>Castigo a la defensiva, 15 yardas</t>
  </si>
  <si>
    <t>Sergio Resendiz para 14 yardas, 2do down</t>
  </si>
  <si>
    <t>Sergio Resendiz para 8 yardas, 1er down</t>
  </si>
  <si>
    <t>Iván Covarrubias Elizondo</t>
  </si>
  <si>
    <t>Ángel Alvarado para 7 yardas, 3er down</t>
  </si>
  <si>
    <t>Eduardo Martínez Alvaradopara 2 yardas, 1er down</t>
  </si>
  <si>
    <t>Jorge Luis Chaib De Leónpara 17 yardas, TD</t>
  </si>
  <si>
    <t>Reynaldo Adolfo Blanco Palomo kicks off 65 yardas, Touchback</t>
  </si>
  <si>
    <t>Fernando Sarabia Pase completo para Mauricio Santos para 15 yardas</t>
  </si>
  <si>
    <t>Alejandro Cruz para 6 yardas, 2do down</t>
  </si>
  <si>
    <t>Fernando Sarabia Pase incompleto intencionado para Wilfredo Fausto Valdez</t>
  </si>
  <si>
    <t>Erick Landeros Castillo</t>
  </si>
  <si>
    <t>Fernando Sarabia Pase incompleto intencionado para Erick Landeros Castillo</t>
  </si>
  <si>
    <t>Ángel Alvarado para 67 yardas, TD</t>
  </si>
  <si>
    <t>Alejandro Cruz para 3 yardas, 2do down</t>
  </si>
  <si>
    <t>Fernando Sarabia Pase completo para Daniel Santos Guerrapara 14 yardas</t>
  </si>
  <si>
    <t xml:space="preserve">Fernando Sarabia Pase incompleto intencionado para Alejandro Cruz </t>
  </si>
  <si>
    <t>Fernando Sarabia para 14 yardas, 1er down</t>
  </si>
  <si>
    <t>Fernando Sarabia Pase completo para Wilfredo Fausto Valdezpara 5 yardas</t>
  </si>
  <si>
    <t>Fernando Sarabia Pase completo para Daniel Santos Guerrapara 49 yardas</t>
  </si>
  <si>
    <t>2-PT</t>
  </si>
  <si>
    <t>2-PT fallada</t>
  </si>
  <si>
    <t>Roberto Medina kicks off 60 yardas, Regreso por Jorge Luis Chaib De León para 17 yardas</t>
  </si>
  <si>
    <t>Sergio Resendiz para 1 yardas, 2do down</t>
  </si>
  <si>
    <t>Ángel Alvarado para 11 yardas, 1er down</t>
  </si>
  <si>
    <t>Sergio Resendiz para 3 yardas, 2do down</t>
  </si>
  <si>
    <t>Ovidio Varela Pedroza</t>
  </si>
  <si>
    <t>Jorge Luis Chaib De Leónpara 3 yardas, 2do down</t>
  </si>
  <si>
    <t>Cruz Alberto Rodríguez García</t>
  </si>
  <si>
    <t>Cruz Alberto Rodríguez Garcíapara 5 yardas, 3er down</t>
  </si>
  <si>
    <t>Mikel Exal Delgado Saenz</t>
  </si>
  <si>
    <t>Sergio Resendiz capturado por Mikel Exal Delgado Saenz</t>
  </si>
  <si>
    <t>Luis Ángel Olvera Muñoz</t>
  </si>
  <si>
    <t>José Alfonso Canthu Hinojosa</t>
  </si>
  <si>
    <t>Luis Ángel Olvera para 6 yardas, Cambio posesión</t>
  </si>
  <si>
    <t>Alex Gabriel Estupiñán de León</t>
  </si>
  <si>
    <t>Fernando Sarabia para 12 yardas, 3er down</t>
  </si>
  <si>
    <t>Fernando Sarabia capturado por Juan Pablo Mandujano Castruita</t>
  </si>
  <si>
    <t>Fernando Sarabia Pase completo para Daniel Santos Guerrapara 57 yardas</t>
  </si>
  <si>
    <t>Ángel Alvarado para 0 yardas, 4to down</t>
  </si>
  <si>
    <t>Luis Ángel Olvera Punt 50 yardas, Recepción libre</t>
  </si>
  <si>
    <t>Alejandro Cruz para 2 yardas, 1er down</t>
  </si>
  <si>
    <t>Daniel Carranza Sepulveda</t>
  </si>
  <si>
    <t>Fernando Sarabia Pase completo para Mauricio Santos para 26 yardas</t>
  </si>
  <si>
    <t>Fernando Sarabia Pase completo para Víctor Palacios para -3 yardas</t>
  </si>
  <si>
    <t>Pablo Treviño Alvarado</t>
  </si>
  <si>
    <t>Fernando Sarabia capturado por Pablo Treviño Alvarado</t>
  </si>
  <si>
    <t>Fernando Sarabia Pase incompleto</t>
  </si>
  <si>
    <t>FG fallado</t>
  </si>
  <si>
    <t>Roberto Medina FG fallado</t>
  </si>
  <si>
    <t>Rodilla en el Piso</t>
  </si>
  <si>
    <t>Sergio Resendiz Rodilla en el Piso</t>
  </si>
  <si>
    <t>Fin del juego</t>
  </si>
  <si>
    <t>Sergio Resendiz Rodilla en el Piso, Fin del juego</t>
  </si>
  <si>
    <t>Cristobal Montemayor Moctezuma</t>
  </si>
  <si>
    <t>Balón recuperado a la defensiva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</si>
</sst>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  <font>
      <b/>
      <sz val="15.0"/>
      <color theme="1"/>
      <name val="Aptos Narrow"/>
    </font>
    <font>
      <b/>
      <sz val="15.0"/>
      <color theme="1"/>
      <name val="Arial"/>
    </font>
    <font>
      <b/>
      <sz val="11.0"/>
      <color theme="1"/>
      <name val="Calibri"/>
    </font>
    <font>
      <sz val="11.0"/>
      <color theme="1"/>
      <name val="Arial"/>
    </font>
    <font>
      <sz val="11.0"/>
      <color theme="1"/>
      <name val="Aptos Narrow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2" xfId="0" applyAlignment="1" applyFont="1" applyNumberFormat="1">
      <alignment readingOrder="0"/>
    </xf>
    <xf borderId="0" fillId="0" fontId="1" numFmtId="2" xfId="0" applyFont="1" applyNumberFormat="1"/>
    <xf borderId="0" fillId="0" fontId="2" numFmtId="2" xfId="0" applyAlignment="1" applyFont="1" applyNumberFormat="1">
      <alignment readingOrder="0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readingOrder="0" vertical="center"/>
    </xf>
    <xf borderId="1" fillId="0" fontId="5" numFmtId="2" xfId="0" applyAlignment="1" applyBorder="1" applyFont="1" applyNumberFormat="1">
      <alignment horizontal="center" readingOrder="0" shrinkToFit="0" vertical="top" wrapText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7" numFmtId="0" xfId="0" applyFont="1"/>
    <xf borderId="0" fillId="0" fontId="8" numFmtId="2" xfId="0" applyAlignment="1" applyFont="1" applyNumberFormat="1">
      <alignment readingOrder="0" shrinkToFit="0" vertical="bottom" wrapText="0"/>
    </xf>
    <xf borderId="0" fillId="0" fontId="8" numFmtId="2" xfId="0" applyAlignment="1" applyFont="1" applyNumberFormat="1">
      <alignment horizontal="right" readingOrder="0" shrinkToFit="0" vertical="bottom" wrapText="0"/>
    </xf>
    <xf borderId="0" fillId="0" fontId="8" numFmtId="2" xfId="0" applyAlignment="1" applyFont="1" applyNumberFormat="1">
      <alignment shrinkToFit="0" vertical="bottom" wrapText="0"/>
    </xf>
    <xf borderId="0" fillId="0" fontId="7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5"/>
    <col customWidth="1" min="2" max="2" width="5.88"/>
    <col customWidth="1" min="3" max="3" width="3.63"/>
    <col customWidth="1" min="4" max="4" width="27.13"/>
    <col customWidth="1" min="5" max="5" width="13.88"/>
    <col customWidth="1" min="6" max="6" width="6.38"/>
    <col customWidth="1" min="7" max="7" width="28.88"/>
    <col customWidth="1" min="8" max="10" width="27.25"/>
    <col customWidth="1" min="11" max="11" width="5.63"/>
    <col customWidth="1" min="12" max="12" width="4.63"/>
    <col customWidth="1" min="13" max="13" width="11.0"/>
    <col customWidth="1" min="14" max="14" width="10.25"/>
    <col customWidth="1" min="15" max="15" width="10.38"/>
    <col customWidth="1" min="16" max="16" width="15.13"/>
    <col customWidth="1" min="17" max="17" width="13.38"/>
    <col customWidth="1" min="18" max="18" width="12.63"/>
    <col customWidth="1" min="19" max="19" width="11.0"/>
    <col customWidth="1" min="20" max="20" width="5.13"/>
    <col customWidth="1" min="21" max="21" width="14.5"/>
    <col customWidth="1" min="22" max="22" width="12.13"/>
    <col customWidth="1" min="23" max="23" width="28.5"/>
    <col customWidth="1" min="24" max="24" width="80.63"/>
    <col customWidth="1" min="25" max="25" width="10.13"/>
    <col customWidth="1" min="26" max="26" width="1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4" t="s">
        <v>17</v>
      </c>
      <c r="S1" s="4" t="s">
        <v>18</v>
      </c>
      <c r="T1" s="4" t="s">
        <v>19</v>
      </c>
      <c r="U1" s="1" t="s">
        <v>20</v>
      </c>
      <c r="V1" s="1" t="s">
        <v>21</v>
      </c>
      <c r="W1" s="1" t="s">
        <v>22</v>
      </c>
      <c r="X1" s="3" t="s">
        <v>23</v>
      </c>
      <c r="Y1" s="3" t="s">
        <v>24</v>
      </c>
      <c r="Z1" s="3" t="s">
        <v>25</v>
      </c>
    </row>
    <row r="2">
      <c r="A2" s="3">
        <v>1.0</v>
      </c>
      <c r="B2" s="2" t="s">
        <v>26</v>
      </c>
      <c r="C2" s="1" t="s">
        <v>27</v>
      </c>
      <c r="D2" s="1" t="s">
        <v>27</v>
      </c>
      <c r="E2" s="1" t="s">
        <v>28</v>
      </c>
      <c r="F2" s="1">
        <v>28.0</v>
      </c>
      <c r="G2" s="3" t="s">
        <v>29</v>
      </c>
      <c r="H2" s="2" t="s">
        <v>30</v>
      </c>
      <c r="I2" s="2"/>
      <c r="J2" s="1" t="s">
        <v>31</v>
      </c>
      <c r="K2" s="1" t="s">
        <v>27</v>
      </c>
      <c r="L2" s="1"/>
      <c r="M2" s="1">
        <v>35.0</v>
      </c>
      <c r="N2" s="1">
        <v>0.0</v>
      </c>
      <c r="O2" s="1">
        <v>65.0</v>
      </c>
      <c r="P2" s="1" t="s">
        <v>32</v>
      </c>
      <c r="Q2" s="1"/>
      <c r="R2" s="4">
        <v>0.0</v>
      </c>
      <c r="S2" s="4">
        <v>0.884959</v>
      </c>
      <c r="T2" s="4">
        <v>0.884959</v>
      </c>
      <c r="U2" s="1" t="s">
        <v>27</v>
      </c>
      <c r="V2" s="1" t="s">
        <v>27</v>
      </c>
      <c r="W2" s="1" t="s">
        <v>27</v>
      </c>
      <c r="X2" s="1" t="s">
        <v>33</v>
      </c>
      <c r="Y2" s="3">
        <v>0.0</v>
      </c>
      <c r="Z2" s="3">
        <v>0.0</v>
      </c>
    </row>
    <row r="3">
      <c r="A3" s="3">
        <v>1.0</v>
      </c>
      <c r="B3" s="1" t="s">
        <v>26</v>
      </c>
      <c r="C3" s="1">
        <v>10.0</v>
      </c>
      <c r="D3" s="3" t="s">
        <v>34</v>
      </c>
      <c r="E3" s="1" t="s">
        <v>26</v>
      </c>
      <c r="F3" s="1">
        <v>31.0</v>
      </c>
      <c r="G3" s="3" t="s">
        <v>35</v>
      </c>
      <c r="H3" s="2" t="s">
        <v>36</v>
      </c>
      <c r="I3" s="2" t="s">
        <v>37</v>
      </c>
      <c r="J3" s="1" t="s">
        <v>38</v>
      </c>
      <c r="K3" s="1" t="s">
        <v>39</v>
      </c>
      <c r="L3" s="3">
        <v>10.0</v>
      </c>
      <c r="M3" s="1">
        <v>25.0</v>
      </c>
      <c r="N3" s="1">
        <v>0.0</v>
      </c>
      <c r="O3" s="1">
        <v>75.0</v>
      </c>
      <c r="P3" s="1" t="s">
        <v>40</v>
      </c>
      <c r="Q3" s="1"/>
      <c r="R3" s="4">
        <v>0.884959</v>
      </c>
      <c r="S3" s="4">
        <v>7.0</v>
      </c>
      <c r="T3" s="4">
        <v>6.115041</v>
      </c>
      <c r="U3" s="1" t="s">
        <v>27</v>
      </c>
      <c r="V3" s="1" t="s">
        <v>27</v>
      </c>
      <c r="W3" s="1" t="s">
        <v>27</v>
      </c>
      <c r="X3" s="1" t="s">
        <v>41</v>
      </c>
      <c r="Y3" s="3">
        <v>0.0</v>
      </c>
      <c r="Z3" s="3">
        <v>6.0</v>
      </c>
    </row>
    <row r="4">
      <c r="A4" s="3">
        <v>1.0</v>
      </c>
      <c r="B4" s="1" t="s">
        <v>26</v>
      </c>
      <c r="C4" s="1" t="s">
        <v>27</v>
      </c>
      <c r="D4" s="1" t="s">
        <v>27</v>
      </c>
      <c r="E4" s="1" t="s">
        <v>26</v>
      </c>
      <c r="F4" s="1">
        <v>42.0</v>
      </c>
      <c r="G4" s="1" t="s">
        <v>42</v>
      </c>
      <c r="H4" s="2" t="s">
        <v>30</v>
      </c>
      <c r="I4" s="2"/>
      <c r="J4" s="1" t="s">
        <v>43</v>
      </c>
      <c r="K4" s="1" t="s">
        <v>27</v>
      </c>
      <c r="L4" s="1"/>
      <c r="M4" s="1">
        <v>-10.0</v>
      </c>
      <c r="N4" s="1">
        <v>0.0</v>
      </c>
      <c r="O4" s="1">
        <v>10.0</v>
      </c>
      <c r="P4" s="1" t="s">
        <v>44</v>
      </c>
      <c r="Q4" s="1"/>
      <c r="R4" s="5"/>
      <c r="S4" s="5"/>
      <c r="T4" s="5"/>
      <c r="U4" s="1" t="s">
        <v>27</v>
      </c>
      <c r="V4" s="1" t="s">
        <v>27</v>
      </c>
      <c r="W4" s="1" t="s">
        <v>27</v>
      </c>
      <c r="X4" s="1" t="s">
        <v>45</v>
      </c>
      <c r="Y4" s="3">
        <v>0.0</v>
      </c>
      <c r="Z4" s="3">
        <v>6.0</v>
      </c>
    </row>
    <row r="5">
      <c r="A5" s="3">
        <v>1.0</v>
      </c>
      <c r="B5" s="1" t="s">
        <v>28</v>
      </c>
      <c r="C5" s="1" t="s">
        <v>27</v>
      </c>
      <c r="D5" s="1" t="s">
        <v>27</v>
      </c>
      <c r="E5" s="1" t="s">
        <v>28</v>
      </c>
      <c r="F5" s="1">
        <v>81.0</v>
      </c>
      <c r="G5" s="3" t="s">
        <v>46</v>
      </c>
      <c r="H5" s="2" t="s">
        <v>30</v>
      </c>
      <c r="I5" s="2"/>
      <c r="J5" s="1" t="s">
        <v>47</v>
      </c>
      <c r="K5" s="1" t="s">
        <v>27</v>
      </c>
      <c r="L5" s="1"/>
      <c r="M5" s="1">
        <v>3.0</v>
      </c>
      <c r="N5" s="1">
        <v>20.0</v>
      </c>
      <c r="O5" s="1">
        <v>17.0</v>
      </c>
      <c r="P5" s="1" t="s">
        <v>48</v>
      </c>
      <c r="Q5" s="1"/>
      <c r="R5" s="4">
        <v>0.0</v>
      </c>
      <c r="S5" s="4">
        <v>0.473</v>
      </c>
      <c r="T5" s="4">
        <v>0.473</v>
      </c>
      <c r="U5" s="1">
        <v>28.0</v>
      </c>
      <c r="V5" s="1" t="s">
        <v>26</v>
      </c>
      <c r="W5" s="1" t="s">
        <v>49</v>
      </c>
      <c r="X5" s="1" t="s">
        <v>50</v>
      </c>
      <c r="Y5" s="3">
        <v>0.0</v>
      </c>
      <c r="Z5" s="3">
        <v>6.0</v>
      </c>
    </row>
    <row r="6">
      <c r="A6" s="3">
        <v>1.0</v>
      </c>
      <c r="B6" s="1" t="s">
        <v>28</v>
      </c>
      <c r="C6" s="1">
        <v>15.0</v>
      </c>
      <c r="D6" s="3" t="s">
        <v>51</v>
      </c>
      <c r="E6" s="1" t="s">
        <v>28</v>
      </c>
      <c r="F6" s="1">
        <v>4.0</v>
      </c>
      <c r="G6" s="3" t="s">
        <v>52</v>
      </c>
      <c r="H6" s="2" t="s">
        <v>36</v>
      </c>
      <c r="I6" s="2" t="s">
        <v>53</v>
      </c>
      <c r="J6" s="1" t="s">
        <v>53</v>
      </c>
      <c r="K6" s="1" t="s">
        <v>39</v>
      </c>
      <c r="L6" s="3">
        <v>10.0</v>
      </c>
      <c r="M6" s="1">
        <v>20.0</v>
      </c>
      <c r="N6" s="1">
        <v>26.0</v>
      </c>
      <c r="O6" s="1">
        <v>6.0</v>
      </c>
      <c r="P6" s="1" t="s">
        <v>54</v>
      </c>
      <c r="Q6" s="1">
        <v>4.0</v>
      </c>
      <c r="R6" s="4">
        <v>0.472631</v>
      </c>
      <c r="S6" s="4">
        <v>0.74378</v>
      </c>
      <c r="T6" s="4">
        <v>0.271149</v>
      </c>
      <c r="U6" s="1">
        <v>35.0</v>
      </c>
      <c r="V6" s="1" t="s">
        <v>26</v>
      </c>
      <c r="W6" s="1" t="s">
        <v>55</v>
      </c>
      <c r="X6" s="1" t="s">
        <v>56</v>
      </c>
      <c r="Y6" s="3">
        <v>0.0</v>
      </c>
      <c r="Z6" s="3">
        <v>6.0</v>
      </c>
    </row>
    <row r="7">
      <c r="A7" s="3">
        <v>1.0</v>
      </c>
      <c r="B7" s="1" t="s">
        <v>28</v>
      </c>
      <c r="C7" s="1">
        <v>15.0</v>
      </c>
      <c r="D7" s="3" t="s">
        <v>51</v>
      </c>
      <c r="E7" s="1" t="s">
        <v>28</v>
      </c>
      <c r="F7" s="1">
        <v>16.0</v>
      </c>
      <c r="G7" s="3" t="s">
        <v>57</v>
      </c>
      <c r="H7" s="2" t="s">
        <v>36</v>
      </c>
      <c r="I7" s="2" t="s">
        <v>53</v>
      </c>
      <c r="J7" s="1" t="s">
        <v>53</v>
      </c>
      <c r="K7" s="1" t="s">
        <v>58</v>
      </c>
      <c r="L7" s="3">
        <v>4.0</v>
      </c>
      <c r="M7" s="1">
        <v>26.0</v>
      </c>
      <c r="N7" s="1">
        <v>36.0</v>
      </c>
      <c r="O7" s="1">
        <v>10.0</v>
      </c>
      <c r="P7" s="1" t="s">
        <v>48</v>
      </c>
      <c r="Q7" s="1">
        <v>10.0</v>
      </c>
      <c r="R7" s="4">
        <v>0.74378</v>
      </c>
      <c r="S7" s="4">
        <v>1.762387</v>
      </c>
      <c r="T7" s="4">
        <v>1.018607</v>
      </c>
      <c r="U7" s="1">
        <v>47.0</v>
      </c>
      <c r="V7" s="1" t="s">
        <v>26</v>
      </c>
      <c r="W7" s="1" t="s">
        <v>59</v>
      </c>
      <c r="X7" s="1" t="s">
        <v>60</v>
      </c>
      <c r="Y7" s="3">
        <v>0.0</v>
      </c>
      <c r="Z7" s="3">
        <v>6.0</v>
      </c>
    </row>
    <row r="8">
      <c r="A8" s="3">
        <v>1.0</v>
      </c>
      <c r="B8" s="1" t="s">
        <v>28</v>
      </c>
      <c r="C8" s="1">
        <v>15.0</v>
      </c>
      <c r="D8" s="3" t="s">
        <v>51</v>
      </c>
      <c r="E8" s="1" t="s">
        <v>28</v>
      </c>
      <c r="F8" s="1">
        <v>23.0</v>
      </c>
      <c r="G8" s="3" t="s">
        <v>61</v>
      </c>
      <c r="H8" s="2" t="s">
        <v>36</v>
      </c>
      <c r="I8" s="2" t="s">
        <v>37</v>
      </c>
      <c r="J8" s="1" t="s">
        <v>38</v>
      </c>
      <c r="K8" s="1" t="s">
        <v>39</v>
      </c>
      <c r="L8" s="3">
        <v>10.0</v>
      </c>
      <c r="M8" s="1">
        <v>36.0</v>
      </c>
      <c r="N8" s="1">
        <v>32.0</v>
      </c>
      <c r="O8" s="1">
        <v>-4.0</v>
      </c>
      <c r="P8" s="1" t="s">
        <v>54</v>
      </c>
      <c r="Q8" s="1">
        <v>14.0</v>
      </c>
      <c r="R8" s="4">
        <v>1.762387</v>
      </c>
      <c r="S8" s="4">
        <v>0.703018</v>
      </c>
      <c r="T8" s="4">
        <v>-1.05937</v>
      </c>
      <c r="U8" s="1">
        <v>2.0</v>
      </c>
      <c r="V8" s="1" t="s">
        <v>26</v>
      </c>
      <c r="W8" s="1" t="s">
        <v>62</v>
      </c>
      <c r="X8" s="1" t="s">
        <v>63</v>
      </c>
      <c r="Y8" s="3">
        <v>0.0</v>
      </c>
      <c r="Z8" s="3">
        <v>6.0</v>
      </c>
    </row>
    <row r="9">
      <c r="A9" s="3">
        <v>1.0</v>
      </c>
      <c r="B9" s="1" t="s">
        <v>28</v>
      </c>
      <c r="C9" s="1">
        <v>15.0</v>
      </c>
      <c r="D9" s="3" t="s">
        <v>51</v>
      </c>
      <c r="E9" s="1" t="s">
        <v>28</v>
      </c>
      <c r="F9" s="1">
        <v>23.0</v>
      </c>
      <c r="G9" s="3" t="s">
        <v>61</v>
      </c>
      <c r="H9" s="2" t="s">
        <v>36</v>
      </c>
      <c r="I9" s="2" t="s">
        <v>53</v>
      </c>
      <c r="J9" s="1" t="s">
        <v>53</v>
      </c>
      <c r="K9" s="1" t="s">
        <v>58</v>
      </c>
      <c r="L9" s="3">
        <v>14.0</v>
      </c>
      <c r="M9" s="1">
        <v>32.0</v>
      </c>
      <c r="N9" s="1">
        <v>41.0</v>
      </c>
      <c r="O9" s="1">
        <v>9.0</v>
      </c>
      <c r="P9" s="1" t="s">
        <v>64</v>
      </c>
      <c r="Q9" s="1">
        <v>5.0</v>
      </c>
      <c r="R9" s="4">
        <v>0.703018</v>
      </c>
      <c r="S9" s="4">
        <v>1.104378</v>
      </c>
      <c r="T9" s="4">
        <v>0.401361</v>
      </c>
      <c r="U9" s="1">
        <v>29.0</v>
      </c>
      <c r="V9" s="1" t="s">
        <v>26</v>
      </c>
      <c r="W9" s="1" t="s">
        <v>65</v>
      </c>
      <c r="X9" s="1" t="s">
        <v>66</v>
      </c>
      <c r="Y9" s="3">
        <v>0.0</v>
      </c>
      <c r="Z9" s="3">
        <v>6.0</v>
      </c>
    </row>
    <row r="10">
      <c r="A10" s="3">
        <v>1.0</v>
      </c>
      <c r="B10" s="1" t="s">
        <v>28</v>
      </c>
      <c r="C10" s="1">
        <v>15.0</v>
      </c>
      <c r="D10" s="3" t="s">
        <v>51</v>
      </c>
      <c r="E10" s="1" t="s">
        <v>26</v>
      </c>
      <c r="F10" s="1">
        <v>12.0</v>
      </c>
      <c r="G10" s="3" t="s">
        <v>67</v>
      </c>
      <c r="H10" s="2" t="s">
        <v>36</v>
      </c>
      <c r="I10" s="2" t="s">
        <v>53</v>
      </c>
      <c r="J10" s="1" t="s">
        <v>68</v>
      </c>
      <c r="K10" s="1" t="s">
        <v>69</v>
      </c>
      <c r="L10" s="1">
        <v>5.0</v>
      </c>
      <c r="M10" s="1">
        <v>41.0</v>
      </c>
      <c r="N10" s="1">
        <v>35.0</v>
      </c>
      <c r="O10" s="1">
        <v>-6.0</v>
      </c>
      <c r="P10" s="1" t="s">
        <v>70</v>
      </c>
      <c r="Q10" s="1">
        <v>11.0</v>
      </c>
      <c r="R10" s="4">
        <v>1.104378</v>
      </c>
      <c r="S10" s="4">
        <v>-1.16675</v>
      </c>
      <c r="T10" s="4">
        <v>-2.27113</v>
      </c>
      <c r="U10" s="1" t="s">
        <v>27</v>
      </c>
      <c r="V10" s="1" t="s">
        <v>27</v>
      </c>
      <c r="W10" s="1" t="s">
        <v>27</v>
      </c>
      <c r="X10" s="1" t="s">
        <v>71</v>
      </c>
      <c r="Y10" s="3">
        <v>0.0</v>
      </c>
      <c r="Z10" s="3">
        <v>6.0</v>
      </c>
    </row>
    <row r="11">
      <c r="A11" s="3">
        <v>1.0</v>
      </c>
      <c r="B11" s="1" t="s">
        <v>28</v>
      </c>
      <c r="C11" s="1" t="s">
        <v>27</v>
      </c>
      <c r="D11" s="1" t="s">
        <v>27</v>
      </c>
      <c r="E11" s="1" t="s">
        <v>28</v>
      </c>
      <c r="F11" s="1">
        <v>87.0</v>
      </c>
      <c r="G11" s="3" t="s">
        <v>72</v>
      </c>
      <c r="H11" s="2" t="s">
        <v>30</v>
      </c>
      <c r="I11" s="2"/>
      <c r="J11" s="1" t="s">
        <v>73</v>
      </c>
      <c r="K11" s="1" t="s">
        <v>74</v>
      </c>
      <c r="L11" s="1">
        <v>11.0</v>
      </c>
      <c r="M11" s="1">
        <v>22.0</v>
      </c>
      <c r="N11" s="1">
        <v>-25.0</v>
      </c>
      <c r="O11" s="1">
        <v>53.0</v>
      </c>
      <c r="P11" s="1" t="s">
        <v>75</v>
      </c>
      <c r="Q11" s="1">
        <v>10.0</v>
      </c>
      <c r="R11" s="4">
        <v>-1.16675</v>
      </c>
      <c r="S11" s="4">
        <v>-0.974</v>
      </c>
      <c r="T11" s="4">
        <v>0.19274999999999998</v>
      </c>
      <c r="U11" s="1" t="s">
        <v>27</v>
      </c>
      <c r="V11" s="1" t="s">
        <v>27</v>
      </c>
      <c r="W11" s="1" t="s">
        <v>27</v>
      </c>
      <c r="X11" s="1" t="s">
        <v>76</v>
      </c>
      <c r="Y11" s="3">
        <v>0.0</v>
      </c>
      <c r="Z11" s="3">
        <v>6.0</v>
      </c>
    </row>
    <row r="12">
      <c r="A12" s="3">
        <v>1.0</v>
      </c>
      <c r="B12" s="1" t="s">
        <v>26</v>
      </c>
      <c r="C12" s="1">
        <v>10.0</v>
      </c>
      <c r="D12" s="3" t="s">
        <v>34</v>
      </c>
      <c r="E12" s="1" t="s">
        <v>26</v>
      </c>
      <c r="F12" s="1">
        <v>21.0</v>
      </c>
      <c r="G12" s="1" t="s">
        <v>77</v>
      </c>
      <c r="H12" s="2" t="s">
        <v>36</v>
      </c>
      <c r="I12" s="2" t="s">
        <v>37</v>
      </c>
      <c r="J12" s="1" t="s">
        <v>38</v>
      </c>
      <c r="K12" s="1" t="s">
        <v>39</v>
      </c>
      <c r="L12" s="3">
        <v>10.0</v>
      </c>
      <c r="M12" s="1">
        <v>26.0</v>
      </c>
      <c r="N12" s="1">
        <v>30.0</v>
      </c>
      <c r="O12" s="1">
        <v>4.0</v>
      </c>
      <c r="P12" s="1" t="s">
        <v>54</v>
      </c>
      <c r="Q12" s="1">
        <v>6.0</v>
      </c>
      <c r="R12" s="4">
        <v>0.974109</v>
      </c>
      <c r="S12" s="4">
        <v>0.901683</v>
      </c>
      <c r="T12" s="4">
        <v>-0.07243</v>
      </c>
      <c r="U12" s="1">
        <v>55.0</v>
      </c>
      <c r="V12" s="1" t="s">
        <v>28</v>
      </c>
      <c r="W12" s="1" t="s">
        <v>78</v>
      </c>
      <c r="X12" s="1" t="s">
        <v>79</v>
      </c>
      <c r="Y12" s="3">
        <v>0.0</v>
      </c>
      <c r="Z12" s="3">
        <v>6.0</v>
      </c>
    </row>
    <row r="13">
      <c r="A13" s="3">
        <v>1.0</v>
      </c>
      <c r="B13" s="1" t="s">
        <v>26</v>
      </c>
      <c r="C13" s="1">
        <v>10.0</v>
      </c>
      <c r="D13" s="3" t="s">
        <v>34</v>
      </c>
      <c r="E13" s="1" t="s">
        <v>26</v>
      </c>
      <c r="F13" s="1">
        <v>21.0</v>
      </c>
      <c r="G13" s="1" t="s">
        <v>77</v>
      </c>
      <c r="H13" s="2" t="s">
        <v>36</v>
      </c>
      <c r="I13" s="2" t="s">
        <v>37</v>
      </c>
      <c r="J13" s="1" t="s">
        <v>38</v>
      </c>
      <c r="K13" s="1" t="s">
        <v>58</v>
      </c>
      <c r="L13" s="1">
        <v>6.0</v>
      </c>
      <c r="M13" s="1">
        <v>30.0</v>
      </c>
      <c r="N13" s="1">
        <v>47.0</v>
      </c>
      <c r="O13" s="1">
        <v>17.0</v>
      </c>
      <c r="P13" s="1" t="s">
        <v>48</v>
      </c>
      <c r="Q13" s="1">
        <v>10.0</v>
      </c>
      <c r="R13" s="4">
        <v>0.901683</v>
      </c>
      <c r="S13" s="4">
        <v>2.539039</v>
      </c>
      <c r="T13" s="4">
        <v>1.637356</v>
      </c>
      <c r="U13" s="1">
        <v>29.0</v>
      </c>
      <c r="V13" s="1" t="s">
        <v>28</v>
      </c>
      <c r="W13" s="1" t="s">
        <v>80</v>
      </c>
      <c r="X13" s="1" t="s">
        <v>81</v>
      </c>
      <c r="Y13" s="3">
        <v>0.0</v>
      </c>
      <c r="Z13" s="3">
        <v>6.0</v>
      </c>
    </row>
    <row r="14">
      <c r="A14" s="3">
        <v>1.0</v>
      </c>
      <c r="B14" s="1" t="s">
        <v>26</v>
      </c>
      <c r="C14" s="1">
        <v>10.0</v>
      </c>
      <c r="D14" s="3" t="s">
        <v>34</v>
      </c>
      <c r="E14" s="1" t="s">
        <v>26</v>
      </c>
      <c r="F14" s="1">
        <v>31.0</v>
      </c>
      <c r="G14" s="3" t="s">
        <v>35</v>
      </c>
      <c r="H14" s="2" t="s">
        <v>36</v>
      </c>
      <c r="I14" s="2" t="s">
        <v>37</v>
      </c>
      <c r="J14" s="1" t="s">
        <v>38</v>
      </c>
      <c r="K14" s="1" t="s">
        <v>39</v>
      </c>
      <c r="L14" s="3">
        <v>10.0</v>
      </c>
      <c r="M14" s="1">
        <v>47.0</v>
      </c>
      <c r="N14" s="1">
        <v>-47.0</v>
      </c>
      <c r="O14" s="1">
        <v>6.0</v>
      </c>
      <c r="P14" s="1" t="s">
        <v>54</v>
      </c>
      <c r="Q14" s="1">
        <v>4.0</v>
      </c>
      <c r="R14" s="4">
        <v>2.539039</v>
      </c>
      <c r="S14" s="4">
        <v>2.768876</v>
      </c>
      <c r="T14" s="4">
        <v>0.229837</v>
      </c>
      <c r="U14" s="1">
        <v>29.0</v>
      </c>
      <c r="V14" s="1" t="s">
        <v>28</v>
      </c>
      <c r="W14" s="1" t="s">
        <v>80</v>
      </c>
      <c r="X14" s="1" t="s">
        <v>82</v>
      </c>
      <c r="Y14" s="3">
        <v>0.0</v>
      </c>
      <c r="Z14" s="3">
        <v>6.0</v>
      </c>
    </row>
    <row r="15">
      <c r="A15" s="3">
        <v>1.0</v>
      </c>
      <c r="B15" s="1" t="s">
        <v>26</v>
      </c>
      <c r="C15" s="1">
        <v>10.0</v>
      </c>
      <c r="D15" s="3" t="s">
        <v>34</v>
      </c>
      <c r="E15" s="1" t="s">
        <v>26</v>
      </c>
      <c r="F15" s="1">
        <v>31.0</v>
      </c>
      <c r="G15" s="3" t="s">
        <v>35</v>
      </c>
      <c r="H15" s="2" t="s">
        <v>36</v>
      </c>
      <c r="I15" s="2" t="s">
        <v>37</v>
      </c>
      <c r="J15" s="1" t="s">
        <v>38</v>
      </c>
      <c r="K15" s="1" t="s">
        <v>58</v>
      </c>
      <c r="L15" s="1">
        <v>4.0</v>
      </c>
      <c r="M15" s="1">
        <v>-47.0</v>
      </c>
      <c r="N15" s="1">
        <v>-43.0</v>
      </c>
      <c r="O15" s="1">
        <v>4.0</v>
      </c>
      <c r="P15" s="1" t="s">
        <v>48</v>
      </c>
      <c r="Q15" s="1">
        <v>10.0</v>
      </c>
      <c r="R15" s="4">
        <v>2.768876</v>
      </c>
      <c r="S15" s="4">
        <v>3.064499</v>
      </c>
      <c r="T15" s="4">
        <v>0.295623</v>
      </c>
      <c r="U15" s="1">
        <v>72.0</v>
      </c>
      <c r="V15" s="1" t="s">
        <v>28</v>
      </c>
      <c r="W15" s="1" t="s">
        <v>83</v>
      </c>
      <c r="X15" s="1" t="s">
        <v>84</v>
      </c>
      <c r="Y15" s="3">
        <v>0.0</v>
      </c>
      <c r="Z15" s="3">
        <v>6.0</v>
      </c>
    </row>
    <row r="16">
      <c r="A16" s="3">
        <v>1.0</v>
      </c>
      <c r="B16" s="1" t="s">
        <v>26</v>
      </c>
      <c r="C16" s="1">
        <v>10.0</v>
      </c>
      <c r="D16" s="3" t="s">
        <v>34</v>
      </c>
      <c r="E16" s="1" t="s">
        <v>26</v>
      </c>
      <c r="F16" s="1">
        <v>20.0</v>
      </c>
      <c r="G16" s="3" t="s">
        <v>85</v>
      </c>
      <c r="H16" s="2" t="s">
        <v>36</v>
      </c>
      <c r="I16" s="2" t="s">
        <v>53</v>
      </c>
      <c r="J16" s="1" t="s">
        <v>53</v>
      </c>
      <c r="K16" s="1" t="s">
        <v>39</v>
      </c>
      <c r="L16" s="3">
        <v>10.0</v>
      </c>
      <c r="M16" s="1">
        <v>-43.0</v>
      </c>
      <c r="N16" s="1">
        <v>-37.0</v>
      </c>
      <c r="O16" s="1">
        <v>6.0</v>
      </c>
      <c r="P16" s="1" t="s">
        <v>54</v>
      </c>
      <c r="Q16" s="1">
        <v>4.0</v>
      </c>
      <c r="R16" s="4">
        <v>3.064499</v>
      </c>
      <c r="S16" s="4">
        <v>3.284751</v>
      </c>
      <c r="T16" s="4">
        <v>0.220252</v>
      </c>
      <c r="U16" s="1">
        <v>2.0</v>
      </c>
      <c r="V16" s="1" t="s">
        <v>28</v>
      </c>
      <c r="W16" s="1" t="s">
        <v>86</v>
      </c>
      <c r="X16" s="1" t="s">
        <v>87</v>
      </c>
      <c r="Y16" s="3">
        <v>0.0</v>
      </c>
      <c r="Z16" s="3">
        <v>6.0</v>
      </c>
    </row>
    <row r="17">
      <c r="A17" s="3">
        <v>1.0</v>
      </c>
      <c r="B17" s="1" t="s">
        <v>26</v>
      </c>
      <c r="C17" s="1">
        <v>10.0</v>
      </c>
      <c r="D17" s="3" t="s">
        <v>34</v>
      </c>
      <c r="E17" s="1" t="s">
        <v>26</v>
      </c>
      <c r="F17" s="1">
        <v>21.0</v>
      </c>
      <c r="G17" s="1" t="s">
        <v>77</v>
      </c>
      <c r="H17" s="2" t="s">
        <v>36</v>
      </c>
      <c r="I17" s="2" t="s">
        <v>37</v>
      </c>
      <c r="J17" s="1" t="s">
        <v>38</v>
      </c>
      <c r="K17" s="1" t="s">
        <v>58</v>
      </c>
      <c r="L17" s="1">
        <v>4.0</v>
      </c>
      <c r="M17" s="1">
        <v>-37.0</v>
      </c>
      <c r="N17" s="1">
        <v>-33.0</v>
      </c>
      <c r="O17" s="1">
        <v>4.0</v>
      </c>
      <c r="P17" s="1" t="s">
        <v>48</v>
      </c>
      <c r="Q17" s="1">
        <v>10.0</v>
      </c>
      <c r="R17" s="4">
        <v>3.284751</v>
      </c>
      <c r="S17" s="4">
        <v>3.57792</v>
      </c>
      <c r="T17" s="4">
        <v>0.293169</v>
      </c>
      <c r="U17" s="1">
        <v>2.0</v>
      </c>
      <c r="V17" s="1" t="s">
        <v>28</v>
      </c>
      <c r="W17" s="1" t="s">
        <v>86</v>
      </c>
      <c r="X17" s="1" t="s">
        <v>88</v>
      </c>
      <c r="Y17" s="3">
        <v>0.0</v>
      </c>
      <c r="Z17" s="3">
        <v>6.0</v>
      </c>
    </row>
    <row r="18">
      <c r="A18" s="3">
        <v>1.0</v>
      </c>
      <c r="B18" s="1" t="s">
        <v>26</v>
      </c>
      <c r="C18" s="1">
        <v>10.0</v>
      </c>
      <c r="D18" s="3" t="s">
        <v>34</v>
      </c>
      <c r="E18" s="1" t="s">
        <v>26</v>
      </c>
      <c r="F18" s="1">
        <v>31.0</v>
      </c>
      <c r="G18" s="3" t="s">
        <v>35</v>
      </c>
      <c r="H18" s="2" t="s">
        <v>36</v>
      </c>
      <c r="I18" s="2" t="s">
        <v>37</v>
      </c>
      <c r="J18" s="1" t="s">
        <v>38</v>
      </c>
      <c r="K18" s="1" t="s">
        <v>39</v>
      </c>
      <c r="L18" s="3">
        <v>10.0</v>
      </c>
      <c r="M18" s="1">
        <v>-33.0</v>
      </c>
      <c r="N18" s="1">
        <v>-30.0</v>
      </c>
      <c r="O18" s="1">
        <v>3.0</v>
      </c>
      <c r="P18" s="1" t="s">
        <v>54</v>
      </c>
      <c r="Q18" s="1">
        <v>7.0</v>
      </c>
      <c r="R18" s="4">
        <v>3.57792</v>
      </c>
      <c r="S18" s="4">
        <v>3.590104</v>
      </c>
      <c r="T18" s="4">
        <v>0.012184</v>
      </c>
      <c r="U18" s="1">
        <v>27.0</v>
      </c>
      <c r="V18" s="1" t="s">
        <v>28</v>
      </c>
      <c r="W18" s="1" t="s">
        <v>89</v>
      </c>
      <c r="X18" s="1" t="s">
        <v>90</v>
      </c>
      <c r="Y18" s="3">
        <v>0.0</v>
      </c>
      <c r="Z18" s="3">
        <v>6.0</v>
      </c>
    </row>
    <row r="19">
      <c r="A19" s="3">
        <v>1.0</v>
      </c>
      <c r="B19" s="1" t="s">
        <v>26</v>
      </c>
      <c r="C19" s="1">
        <v>10.0</v>
      </c>
      <c r="D19" s="3" t="s">
        <v>34</v>
      </c>
      <c r="E19" s="1" t="s">
        <v>26</v>
      </c>
      <c r="F19" s="1">
        <v>31.0</v>
      </c>
      <c r="G19" s="3" t="s">
        <v>35</v>
      </c>
      <c r="H19" s="2" t="s">
        <v>36</v>
      </c>
      <c r="I19" s="2" t="s">
        <v>37</v>
      </c>
      <c r="J19" s="1" t="s">
        <v>38</v>
      </c>
      <c r="K19" s="1" t="s">
        <v>58</v>
      </c>
      <c r="L19" s="1">
        <v>7.0</v>
      </c>
      <c r="M19" s="1">
        <v>-30.0</v>
      </c>
      <c r="N19" s="1">
        <v>-27.0</v>
      </c>
      <c r="O19" s="1">
        <v>3.0</v>
      </c>
      <c r="P19" s="1" t="s">
        <v>64</v>
      </c>
      <c r="Q19" s="1">
        <v>4.0</v>
      </c>
      <c r="R19" s="4">
        <v>3.590104</v>
      </c>
      <c r="S19" s="4">
        <v>3.076431</v>
      </c>
      <c r="T19" s="4">
        <v>-0.51367</v>
      </c>
      <c r="U19" s="1">
        <v>72.0</v>
      </c>
      <c r="V19" s="1" t="s">
        <v>28</v>
      </c>
      <c r="W19" s="1" t="s">
        <v>83</v>
      </c>
      <c r="X19" s="1" t="s">
        <v>91</v>
      </c>
      <c r="Y19" s="3">
        <v>0.0</v>
      </c>
      <c r="Z19" s="3">
        <v>6.0</v>
      </c>
    </row>
    <row r="20">
      <c r="A20" s="3">
        <v>1.0</v>
      </c>
      <c r="B20" s="1" t="s">
        <v>26</v>
      </c>
      <c r="C20" s="1">
        <v>10.0</v>
      </c>
      <c r="D20" s="3" t="s">
        <v>34</v>
      </c>
      <c r="E20" s="1" t="s">
        <v>26</v>
      </c>
      <c r="F20" s="1">
        <v>10.0</v>
      </c>
      <c r="G20" s="3" t="s">
        <v>34</v>
      </c>
      <c r="H20" s="2" t="s">
        <v>36</v>
      </c>
      <c r="I20" s="2" t="s">
        <v>37</v>
      </c>
      <c r="J20" s="1" t="s">
        <v>38</v>
      </c>
      <c r="K20" s="1" t="s">
        <v>69</v>
      </c>
      <c r="L20" s="1">
        <v>4.0</v>
      </c>
      <c r="M20" s="1">
        <v>-27.0</v>
      </c>
      <c r="N20" s="1">
        <v>-29.0</v>
      </c>
      <c r="O20" s="1">
        <v>-2.0</v>
      </c>
      <c r="P20" s="1" t="s">
        <v>70</v>
      </c>
      <c r="Q20" s="1">
        <v>6.0</v>
      </c>
      <c r="R20" s="4">
        <v>3.076431</v>
      </c>
      <c r="S20" s="4">
        <v>1.706444</v>
      </c>
      <c r="T20" s="4">
        <v>-1.36999</v>
      </c>
      <c r="U20" s="1">
        <v>2.0</v>
      </c>
      <c r="V20" s="1" t="s">
        <v>28</v>
      </c>
      <c r="W20" s="1" t="s">
        <v>86</v>
      </c>
      <c r="X20" s="1" t="s">
        <v>92</v>
      </c>
      <c r="Y20" s="3">
        <v>0.0</v>
      </c>
      <c r="Z20" s="3">
        <v>6.0</v>
      </c>
    </row>
    <row r="21">
      <c r="A21" s="3">
        <v>1.0</v>
      </c>
      <c r="B21" s="1" t="s">
        <v>26</v>
      </c>
      <c r="C21" s="1" t="s">
        <v>27</v>
      </c>
      <c r="D21" s="1" t="s">
        <v>27</v>
      </c>
      <c r="E21" s="1" t="s">
        <v>26</v>
      </c>
      <c r="F21" s="1">
        <v>42.0</v>
      </c>
      <c r="G21" s="3" t="s">
        <v>93</v>
      </c>
      <c r="H21" s="2" t="s">
        <v>30</v>
      </c>
      <c r="I21" s="2"/>
      <c r="J21" s="1" t="s">
        <v>94</v>
      </c>
      <c r="K21" s="1" t="s">
        <v>74</v>
      </c>
      <c r="L21" s="1">
        <v>6.0</v>
      </c>
      <c r="M21" s="1">
        <v>-36.0</v>
      </c>
      <c r="N21" s="1">
        <v>0.0</v>
      </c>
      <c r="O21" s="1">
        <v>46.0</v>
      </c>
      <c r="P21" s="1" t="s">
        <v>95</v>
      </c>
      <c r="Q21" s="1"/>
      <c r="R21" s="4">
        <v>1.706444</v>
      </c>
      <c r="S21" s="4">
        <v>3.0</v>
      </c>
      <c r="T21" s="4">
        <v>1.293556</v>
      </c>
      <c r="U21" s="1" t="s">
        <v>27</v>
      </c>
      <c r="V21" s="1" t="s">
        <v>27</v>
      </c>
      <c r="W21" s="1" t="s">
        <v>27</v>
      </c>
      <c r="X21" s="1" t="s">
        <v>96</v>
      </c>
      <c r="Y21" s="3">
        <v>0.0</v>
      </c>
      <c r="Z21" s="3">
        <v>9.0</v>
      </c>
    </row>
    <row r="22">
      <c r="A22" s="3">
        <v>1.0</v>
      </c>
      <c r="B22" s="1" t="s">
        <v>28</v>
      </c>
      <c r="C22" s="1" t="s">
        <v>27</v>
      </c>
      <c r="D22" s="1" t="s">
        <v>27</v>
      </c>
      <c r="E22" s="1" t="s">
        <v>28</v>
      </c>
      <c r="F22" s="1">
        <v>81.0</v>
      </c>
      <c r="G22" s="3" t="s">
        <v>46</v>
      </c>
      <c r="H22" s="2" t="s">
        <v>30</v>
      </c>
      <c r="I22" s="2"/>
      <c r="J22" s="1" t="s">
        <v>47</v>
      </c>
      <c r="K22" s="1" t="s">
        <v>27</v>
      </c>
      <c r="L22" s="1"/>
      <c r="M22" s="1">
        <v>4.0</v>
      </c>
      <c r="N22" s="1">
        <v>26.0</v>
      </c>
      <c r="O22" s="1">
        <v>22.0</v>
      </c>
      <c r="P22" s="1" t="s">
        <v>48</v>
      </c>
      <c r="Q22" s="1">
        <v>10.0</v>
      </c>
      <c r="R22" s="4">
        <v>0.0</v>
      </c>
      <c r="S22" s="4">
        <v>0.974109</v>
      </c>
      <c r="T22" s="4">
        <v>0.974109</v>
      </c>
      <c r="U22" s="1">
        <v>27.0</v>
      </c>
      <c r="V22" s="1" t="s">
        <v>26</v>
      </c>
      <c r="W22" s="1" t="s">
        <v>97</v>
      </c>
      <c r="X22" s="1" t="s">
        <v>98</v>
      </c>
      <c r="Y22" s="3">
        <v>0.0</v>
      </c>
      <c r="Z22" s="3">
        <v>9.0</v>
      </c>
    </row>
    <row r="23">
      <c r="A23" s="3">
        <v>1.0</v>
      </c>
      <c r="B23" s="1" t="s">
        <v>28</v>
      </c>
      <c r="C23" s="1">
        <v>15.0</v>
      </c>
      <c r="D23" s="3" t="s">
        <v>51</v>
      </c>
      <c r="E23" s="1" t="s">
        <v>28</v>
      </c>
      <c r="F23" s="1">
        <v>23.0</v>
      </c>
      <c r="G23" s="3" t="s">
        <v>61</v>
      </c>
      <c r="H23" s="2" t="s">
        <v>36</v>
      </c>
      <c r="I23" s="2" t="s">
        <v>37</v>
      </c>
      <c r="J23" s="1" t="s">
        <v>38</v>
      </c>
      <c r="K23" s="1" t="s">
        <v>39</v>
      </c>
      <c r="L23" s="3">
        <v>10.0</v>
      </c>
      <c r="M23" s="1">
        <v>26.0</v>
      </c>
      <c r="N23" s="1">
        <v>26.0</v>
      </c>
      <c r="O23" s="1">
        <v>0.0</v>
      </c>
      <c r="P23" s="1" t="s">
        <v>54</v>
      </c>
      <c r="Q23" s="1">
        <v>10.0</v>
      </c>
      <c r="R23" s="4">
        <v>0.974109</v>
      </c>
      <c r="S23" s="4">
        <v>0.34483</v>
      </c>
      <c r="T23" s="4">
        <v>-0.62928</v>
      </c>
      <c r="U23" s="1">
        <v>7.0</v>
      </c>
      <c r="V23" s="1" t="s">
        <v>26</v>
      </c>
      <c r="W23" s="1" t="s">
        <v>99</v>
      </c>
      <c r="X23" s="1" t="s">
        <v>100</v>
      </c>
      <c r="Y23" s="3">
        <v>0.0</v>
      </c>
      <c r="Z23" s="3">
        <v>9.0</v>
      </c>
    </row>
    <row r="24">
      <c r="A24" s="3">
        <v>1.0</v>
      </c>
      <c r="B24" s="1" t="s">
        <v>28</v>
      </c>
      <c r="C24" s="1">
        <v>15.0</v>
      </c>
      <c r="D24" s="3" t="s">
        <v>51</v>
      </c>
      <c r="E24" s="1" t="s">
        <v>28</v>
      </c>
      <c r="F24" s="1">
        <v>4.0</v>
      </c>
      <c r="G24" s="3" t="s">
        <v>52</v>
      </c>
      <c r="H24" s="2" t="s">
        <v>36</v>
      </c>
      <c r="I24" s="2" t="s">
        <v>53</v>
      </c>
      <c r="J24" s="1" t="s">
        <v>53</v>
      </c>
      <c r="K24" s="1" t="s">
        <v>58</v>
      </c>
      <c r="L24" s="1">
        <v>10.0</v>
      </c>
      <c r="M24" s="1">
        <v>26.0</v>
      </c>
      <c r="N24" s="1">
        <v>46.0</v>
      </c>
      <c r="O24" s="1">
        <v>20.0</v>
      </c>
      <c r="P24" s="1" t="s">
        <v>48</v>
      </c>
      <c r="Q24" s="1">
        <v>10.0</v>
      </c>
      <c r="R24" s="4">
        <v>0.34483</v>
      </c>
      <c r="S24" s="4">
        <v>2.468226</v>
      </c>
      <c r="T24" s="4">
        <v>2.123396</v>
      </c>
      <c r="U24" s="1" t="s">
        <v>27</v>
      </c>
      <c r="V24" s="1" t="s">
        <v>27</v>
      </c>
      <c r="W24" s="1" t="s">
        <v>27</v>
      </c>
      <c r="X24" s="1" t="s">
        <v>101</v>
      </c>
      <c r="Y24" s="3">
        <v>0.0</v>
      </c>
      <c r="Z24" s="3">
        <v>9.0</v>
      </c>
    </row>
    <row r="25">
      <c r="A25" s="3">
        <v>1.0</v>
      </c>
      <c r="B25" s="1" t="s">
        <v>28</v>
      </c>
      <c r="C25" s="1">
        <v>15.0</v>
      </c>
      <c r="D25" s="3" t="s">
        <v>51</v>
      </c>
      <c r="E25" s="1" t="s">
        <v>28</v>
      </c>
      <c r="F25" s="1">
        <v>82.0</v>
      </c>
      <c r="G25" s="3" t="s">
        <v>102</v>
      </c>
      <c r="H25" s="2" t="s">
        <v>36</v>
      </c>
      <c r="I25" s="2" t="s">
        <v>53</v>
      </c>
      <c r="J25" s="1" t="s">
        <v>53</v>
      </c>
      <c r="K25" s="1" t="s">
        <v>39</v>
      </c>
      <c r="L25" s="3">
        <v>10.0</v>
      </c>
      <c r="M25" s="1">
        <v>46.0</v>
      </c>
      <c r="N25" s="1">
        <v>-38.0</v>
      </c>
      <c r="O25" s="1">
        <v>16.0</v>
      </c>
      <c r="P25" s="1" t="s">
        <v>48</v>
      </c>
      <c r="Q25" s="1">
        <v>10.0</v>
      </c>
      <c r="R25" s="4">
        <v>2.468226</v>
      </c>
      <c r="S25" s="4">
        <v>3.381307</v>
      </c>
      <c r="T25" s="4">
        <v>0.913081</v>
      </c>
      <c r="U25" s="1">
        <v>0.0</v>
      </c>
      <c r="V25" s="1" t="s">
        <v>26</v>
      </c>
      <c r="W25" s="1" t="s">
        <v>103</v>
      </c>
      <c r="X25" s="1" t="s">
        <v>104</v>
      </c>
      <c r="Y25" s="3">
        <v>0.0</v>
      </c>
      <c r="Z25" s="3">
        <v>9.0</v>
      </c>
    </row>
    <row r="26">
      <c r="A26" s="3">
        <v>1.0</v>
      </c>
      <c r="B26" s="1" t="s">
        <v>28</v>
      </c>
      <c r="C26" s="1">
        <v>15.0</v>
      </c>
      <c r="D26" s="3" t="s">
        <v>51</v>
      </c>
      <c r="E26" s="1" t="s">
        <v>28</v>
      </c>
      <c r="F26" s="1">
        <v>15.0</v>
      </c>
      <c r="G26" s="3" t="s">
        <v>51</v>
      </c>
      <c r="H26" s="2" t="s">
        <v>36</v>
      </c>
      <c r="I26" s="2" t="s">
        <v>37</v>
      </c>
      <c r="J26" s="1" t="s">
        <v>38</v>
      </c>
      <c r="K26" s="1" t="s">
        <v>39</v>
      </c>
      <c r="L26" s="3">
        <v>10.0</v>
      </c>
      <c r="M26" s="1">
        <v>-38.0</v>
      </c>
      <c r="N26" s="1">
        <v>-29.0</v>
      </c>
      <c r="O26" s="1">
        <v>9.0</v>
      </c>
      <c r="P26" s="1" t="s">
        <v>54</v>
      </c>
      <c r="Q26" s="1">
        <v>1.0</v>
      </c>
      <c r="R26" s="4">
        <v>3.381307</v>
      </c>
      <c r="S26" s="4">
        <v>3.978036</v>
      </c>
      <c r="T26" s="4">
        <v>0.596729</v>
      </c>
      <c r="U26" s="1">
        <v>35.0</v>
      </c>
      <c r="V26" s="1" t="s">
        <v>26</v>
      </c>
      <c r="W26" s="1" t="s">
        <v>55</v>
      </c>
      <c r="X26" s="1" t="s">
        <v>105</v>
      </c>
      <c r="Y26" s="3">
        <v>0.0</v>
      </c>
      <c r="Z26" s="3">
        <v>9.0</v>
      </c>
    </row>
    <row r="27">
      <c r="A27" s="3">
        <v>1.0</v>
      </c>
      <c r="B27" s="1" t="s">
        <v>28</v>
      </c>
      <c r="C27" s="1" t="s">
        <v>27</v>
      </c>
      <c r="D27" s="1" t="s">
        <v>27</v>
      </c>
      <c r="E27" s="1" t="s">
        <v>28</v>
      </c>
      <c r="F27" s="1" t="s">
        <v>27</v>
      </c>
      <c r="G27" s="1" t="s">
        <v>27</v>
      </c>
      <c r="H27" s="2" t="s">
        <v>36</v>
      </c>
      <c r="I27" s="2"/>
      <c r="J27" s="1" t="s">
        <v>106</v>
      </c>
      <c r="K27" s="1" t="s">
        <v>58</v>
      </c>
      <c r="L27" s="1">
        <v>1.0</v>
      </c>
      <c r="M27" s="1">
        <v>-29.0</v>
      </c>
      <c r="N27" s="1">
        <v>-34.0</v>
      </c>
      <c r="O27" s="1">
        <v>-5.0</v>
      </c>
      <c r="P27" s="1" t="s">
        <v>54</v>
      </c>
      <c r="Q27" s="1">
        <v>6.0</v>
      </c>
      <c r="R27" s="4">
        <v>3.978036</v>
      </c>
      <c r="S27" s="4">
        <v>3.430596</v>
      </c>
      <c r="T27" s="4">
        <v>-0.54744</v>
      </c>
      <c r="U27" s="1" t="s">
        <v>27</v>
      </c>
      <c r="V27" s="1" t="s">
        <v>27</v>
      </c>
      <c r="W27" s="1" t="s">
        <v>27</v>
      </c>
      <c r="X27" s="1" t="s">
        <v>107</v>
      </c>
      <c r="Y27" s="3">
        <v>0.0</v>
      </c>
      <c r="Z27" s="3">
        <v>9.0</v>
      </c>
    </row>
    <row r="28">
      <c r="A28" s="3">
        <v>1.0</v>
      </c>
      <c r="B28" s="1" t="s">
        <v>28</v>
      </c>
      <c r="C28" s="1">
        <v>15.0</v>
      </c>
      <c r="D28" s="3" t="s">
        <v>51</v>
      </c>
      <c r="E28" s="1" t="s">
        <v>26</v>
      </c>
      <c r="F28" s="1">
        <v>35.0</v>
      </c>
      <c r="G28" s="1" t="s">
        <v>55</v>
      </c>
      <c r="H28" s="2" t="s">
        <v>36</v>
      </c>
      <c r="I28" s="2" t="s">
        <v>53</v>
      </c>
      <c r="J28" s="1" t="s">
        <v>108</v>
      </c>
      <c r="K28" s="1" t="s">
        <v>58</v>
      </c>
      <c r="L28" s="1">
        <v>6.0</v>
      </c>
      <c r="M28" s="1">
        <v>-34.0</v>
      </c>
      <c r="N28" s="1">
        <v>-24.0</v>
      </c>
      <c r="O28" s="1">
        <v>10.0</v>
      </c>
      <c r="P28" s="1" t="s">
        <v>109</v>
      </c>
      <c r="Q28" s="1"/>
      <c r="R28" s="4">
        <v>3.430596</v>
      </c>
      <c r="S28" s="4">
        <v>-1.86</v>
      </c>
      <c r="T28" s="4">
        <v>-5.290596</v>
      </c>
      <c r="U28" s="1">
        <v>11.0</v>
      </c>
      <c r="V28" s="1" t="s">
        <v>28</v>
      </c>
      <c r="W28" s="1" t="s">
        <v>110</v>
      </c>
      <c r="X28" s="1" t="s">
        <v>111</v>
      </c>
      <c r="Y28" s="3">
        <v>0.0</v>
      </c>
      <c r="Z28" s="3">
        <v>9.0</v>
      </c>
    </row>
    <row r="29">
      <c r="A29" s="3">
        <v>1.0</v>
      </c>
      <c r="B29" s="1" t="s">
        <v>26</v>
      </c>
      <c r="C29" s="1">
        <v>10.0</v>
      </c>
      <c r="D29" s="3" t="s">
        <v>34</v>
      </c>
      <c r="E29" s="1" t="s">
        <v>26</v>
      </c>
      <c r="F29" s="1">
        <v>31.0</v>
      </c>
      <c r="G29" s="3" t="s">
        <v>35</v>
      </c>
      <c r="H29" s="2" t="s">
        <v>36</v>
      </c>
      <c r="I29" s="2" t="s">
        <v>37</v>
      </c>
      <c r="J29" s="1" t="s">
        <v>38</v>
      </c>
      <c r="K29" s="1" t="s">
        <v>39</v>
      </c>
      <c r="L29" s="3">
        <v>10.0</v>
      </c>
      <c r="M29" s="1">
        <v>37.0</v>
      </c>
      <c r="N29" s="1">
        <v>41.0</v>
      </c>
      <c r="O29" s="1">
        <v>4.0</v>
      </c>
      <c r="P29" s="1" t="s">
        <v>54</v>
      </c>
      <c r="Q29" s="1">
        <v>6.0</v>
      </c>
      <c r="R29" s="4">
        <v>1.857162</v>
      </c>
      <c r="S29" s="4">
        <v>1.80272</v>
      </c>
      <c r="T29" s="4">
        <v>-0.05444</v>
      </c>
      <c r="U29" s="1">
        <v>3.0</v>
      </c>
      <c r="V29" s="1" t="s">
        <v>28</v>
      </c>
      <c r="W29" s="1" t="s">
        <v>112</v>
      </c>
      <c r="X29" s="1" t="s">
        <v>113</v>
      </c>
      <c r="Y29" s="3">
        <v>0.0</v>
      </c>
      <c r="Z29" s="3">
        <v>9.0</v>
      </c>
    </row>
    <row r="30">
      <c r="A30" s="3">
        <v>1.0</v>
      </c>
      <c r="B30" s="1" t="s">
        <v>26</v>
      </c>
      <c r="C30" s="1">
        <v>10.0</v>
      </c>
      <c r="D30" s="3" t="s">
        <v>34</v>
      </c>
      <c r="E30" s="1" t="s">
        <v>26</v>
      </c>
      <c r="F30" s="1">
        <v>31.0</v>
      </c>
      <c r="G30" s="3" t="s">
        <v>35</v>
      </c>
      <c r="H30" s="2" t="s">
        <v>36</v>
      </c>
      <c r="I30" s="2" t="s">
        <v>37</v>
      </c>
      <c r="J30" s="1" t="s">
        <v>38</v>
      </c>
      <c r="K30" s="1" t="s">
        <v>58</v>
      </c>
      <c r="L30" s="1">
        <v>6.0</v>
      </c>
      <c r="M30" s="1">
        <v>41.0</v>
      </c>
      <c r="N30" s="1">
        <v>43.0</v>
      </c>
      <c r="O30" s="1">
        <v>2.0</v>
      </c>
      <c r="P30" s="1" t="s">
        <v>64</v>
      </c>
      <c r="Q30" s="1">
        <v>4.0</v>
      </c>
      <c r="R30" s="4">
        <v>1.80272</v>
      </c>
      <c r="S30" s="4">
        <v>1.363791</v>
      </c>
      <c r="T30" s="4">
        <v>-0.43893</v>
      </c>
      <c r="U30" s="1">
        <v>10.0</v>
      </c>
      <c r="V30" s="1" t="s">
        <v>28</v>
      </c>
      <c r="W30" s="1" t="s">
        <v>114</v>
      </c>
      <c r="X30" s="1" t="s">
        <v>115</v>
      </c>
      <c r="Y30" s="3">
        <v>0.0</v>
      </c>
      <c r="Z30" s="3">
        <v>9.0</v>
      </c>
    </row>
    <row r="31">
      <c r="A31" s="3">
        <v>1.0</v>
      </c>
      <c r="B31" s="1" t="s">
        <v>26</v>
      </c>
      <c r="C31" s="1">
        <v>10.0</v>
      </c>
      <c r="D31" s="3" t="s">
        <v>34</v>
      </c>
      <c r="E31" s="1" t="s">
        <v>26</v>
      </c>
      <c r="F31" s="1">
        <v>82.0</v>
      </c>
      <c r="G31" s="3" t="s">
        <v>116</v>
      </c>
      <c r="H31" s="2" t="s">
        <v>36</v>
      </c>
      <c r="I31" s="2" t="s">
        <v>53</v>
      </c>
      <c r="J31" s="1" t="s">
        <v>117</v>
      </c>
      <c r="K31" s="1" t="s">
        <v>69</v>
      </c>
      <c r="L31" s="1">
        <v>4.0</v>
      </c>
      <c r="M31" s="1">
        <v>43.0</v>
      </c>
      <c r="N31" s="1">
        <v>43.0</v>
      </c>
      <c r="O31" s="1">
        <v>0.0</v>
      </c>
      <c r="P31" s="1" t="s">
        <v>70</v>
      </c>
      <c r="Q31" s="1">
        <v>4.0</v>
      </c>
      <c r="R31" s="4">
        <v>1.363791</v>
      </c>
      <c r="S31" s="4">
        <v>-0.27436</v>
      </c>
      <c r="T31" s="4">
        <v>-1.63815</v>
      </c>
      <c r="U31" s="1" t="s">
        <v>27</v>
      </c>
      <c r="V31" s="1" t="s">
        <v>27</v>
      </c>
      <c r="W31" s="1" t="s">
        <v>27</v>
      </c>
      <c r="X31" s="1" t="s">
        <v>118</v>
      </c>
      <c r="Y31" s="3">
        <v>0.0</v>
      </c>
      <c r="Z31" s="3">
        <v>9.0</v>
      </c>
    </row>
    <row r="32">
      <c r="A32" s="3">
        <v>1.0</v>
      </c>
      <c r="B32" s="1" t="s">
        <v>26</v>
      </c>
      <c r="C32" s="1" t="s">
        <v>27</v>
      </c>
      <c r="D32" s="1" t="s">
        <v>27</v>
      </c>
      <c r="E32" s="1" t="s">
        <v>26</v>
      </c>
      <c r="F32" s="1">
        <v>8.0</v>
      </c>
      <c r="G32" s="3" t="s">
        <v>119</v>
      </c>
      <c r="H32" s="2" t="s">
        <v>30</v>
      </c>
      <c r="I32" s="2"/>
      <c r="J32" s="1" t="s">
        <v>73</v>
      </c>
      <c r="K32" s="1" t="s">
        <v>74</v>
      </c>
      <c r="L32" s="1">
        <v>4.0</v>
      </c>
      <c r="M32" s="1">
        <v>29.0</v>
      </c>
      <c r="N32" s="1">
        <v>-22.0</v>
      </c>
      <c r="O32" s="1">
        <v>49.0</v>
      </c>
      <c r="P32" s="1" t="s">
        <v>75</v>
      </c>
      <c r="Q32" s="1"/>
      <c r="R32" s="4">
        <v>-0.27436</v>
      </c>
      <c r="S32" s="4">
        <v>0.16983</v>
      </c>
      <c r="T32" s="4">
        <v>0.44419</v>
      </c>
      <c r="U32" s="1" t="s">
        <v>27</v>
      </c>
      <c r="V32" s="1" t="s">
        <v>27</v>
      </c>
      <c r="W32" s="1" t="s">
        <v>27</v>
      </c>
      <c r="X32" s="1" t="s">
        <v>120</v>
      </c>
      <c r="Y32" s="3">
        <v>0.0</v>
      </c>
      <c r="Z32" s="3">
        <v>9.0</v>
      </c>
    </row>
    <row r="33">
      <c r="A33" s="3">
        <v>1.0</v>
      </c>
      <c r="B33" s="1" t="s">
        <v>28</v>
      </c>
      <c r="C33" s="1" t="s">
        <v>27</v>
      </c>
      <c r="D33" s="1" t="s">
        <v>27</v>
      </c>
      <c r="E33" s="1" t="s">
        <v>28</v>
      </c>
      <c r="F33" s="1" t="s">
        <v>27</v>
      </c>
      <c r="G33" s="1" t="s">
        <v>27</v>
      </c>
      <c r="H33" s="2" t="s">
        <v>36</v>
      </c>
      <c r="I33" s="2"/>
      <c r="J33" s="1" t="s">
        <v>106</v>
      </c>
      <c r="K33" s="1" t="s">
        <v>39</v>
      </c>
      <c r="L33" s="3"/>
      <c r="M33" s="1">
        <v>22.0</v>
      </c>
      <c r="N33" s="1">
        <v>12.0</v>
      </c>
      <c r="O33" s="1">
        <v>-10.0</v>
      </c>
      <c r="P33" s="1" t="s">
        <v>48</v>
      </c>
      <c r="Q33" s="1">
        <v>10.0</v>
      </c>
      <c r="R33" s="4"/>
      <c r="S33" s="4"/>
      <c r="T33" s="4"/>
      <c r="U33" s="1" t="s">
        <v>27</v>
      </c>
      <c r="V33" s="1" t="s">
        <v>27</v>
      </c>
      <c r="W33" s="1" t="s">
        <v>27</v>
      </c>
      <c r="X33" s="1" t="s">
        <v>121</v>
      </c>
      <c r="Y33" s="3">
        <v>0.0</v>
      </c>
      <c r="Z33" s="3">
        <v>9.0</v>
      </c>
    </row>
    <row r="34">
      <c r="A34" s="3">
        <v>2.0</v>
      </c>
      <c r="B34" s="1" t="s">
        <v>28</v>
      </c>
      <c r="C34" s="1">
        <v>15.0</v>
      </c>
      <c r="D34" s="3" t="s">
        <v>51</v>
      </c>
      <c r="E34" s="1" t="s">
        <v>28</v>
      </c>
      <c r="F34" s="1">
        <v>16.0</v>
      </c>
      <c r="G34" s="3" t="s">
        <v>57</v>
      </c>
      <c r="H34" s="2" t="s">
        <v>36</v>
      </c>
      <c r="I34" s="2" t="s">
        <v>53</v>
      </c>
      <c r="J34" s="1" t="s">
        <v>53</v>
      </c>
      <c r="K34" s="1" t="s">
        <v>39</v>
      </c>
      <c r="L34" s="1">
        <v>10.0</v>
      </c>
      <c r="M34" s="1">
        <v>12.0</v>
      </c>
      <c r="N34" s="1">
        <v>24.0</v>
      </c>
      <c r="O34" s="1">
        <v>12.0</v>
      </c>
      <c r="P34" s="1" t="s">
        <v>48</v>
      </c>
      <c r="Q34" s="1">
        <v>10.0</v>
      </c>
      <c r="R34" s="4">
        <v>-0.16983</v>
      </c>
      <c r="S34" s="4">
        <v>0.806996</v>
      </c>
      <c r="T34" s="4">
        <v>0.976827</v>
      </c>
      <c r="U34" s="1" t="s">
        <v>27</v>
      </c>
      <c r="V34" s="1" t="s">
        <v>27</v>
      </c>
      <c r="W34" s="1" t="s">
        <v>27</v>
      </c>
      <c r="X34" s="1" t="s">
        <v>122</v>
      </c>
      <c r="Y34" s="3">
        <v>0.0</v>
      </c>
      <c r="Z34" s="3">
        <v>9.0</v>
      </c>
    </row>
    <row r="35">
      <c r="A35" s="3">
        <v>2.0</v>
      </c>
      <c r="B35" s="1" t="s">
        <v>28</v>
      </c>
      <c r="C35" s="1">
        <v>15.0</v>
      </c>
      <c r="D35" s="3" t="s">
        <v>51</v>
      </c>
      <c r="E35" s="1" t="s">
        <v>28</v>
      </c>
      <c r="F35" s="1">
        <v>23.0</v>
      </c>
      <c r="G35" s="3" t="s">
        <v>61</v>
      </c>
      <c r="H35" s="2" t="s">
        <v>36</v>
      </c>
      <c r="I35" s="2" t="s">
        <v>37</v>
      </c>
      <c r="J35" s="1" t="s">
        <v>38</v>
      </c>
      <c r="K35" s="1" t="s">
        <v>39</v>
      </c>
      <c r="L35" s="3">
        <v>10.0</v>
      </c>
      <c r="M35" s="1">
        <v>24.0</v>
      </c>
      <c r="N35" s="1">
        <v>25.0</v>
      </c>
      <c r="O35" s="1">
        <v>1.0</v>
      </c>
      <c r="P35" s="1" t="s">
        <v>54</v>
      </c>
      <c r="Q35" s="1">
        <v>9.0</v>
      </c>
      <c r="R35" s="4">
        <v>0.806996</v>
      </c>
      <c r="S35" s="4">
        <v>0.29186</v>
      </c>
      <c r="T35" s="4">
        <v>-0.51514</v>
      </c>
      <c r="U35" s="1">
        <v>97.0</v>
      </c>
      <c r="V35" s="1" t="s">
        <v>26</v>
      </c>
      <c r="W35" s="1" t="s">
        <v>123</v>
      </c>
      <c r="X35" s="1" t="s">
        <v>124</v>
      </c>
      <c r="Y35" s="3">
        <v>0.0</v>
      </c>
      <c r="Z35" s="3">
        <v>9.0</v>
      </c>
    </row>
    <row r="36">
      <c r="A36" s="3">
        <v>2.0</v>
      </c>
      <c r="B36" s="1" t="s">
        <v>28</v>
      </c>
      <c r="C36" s="1">
        <v>15.0</v>
      </c>
      <c r="D36" s="3" t="s">
        <v>51</v>
      </c>
      <c r="E36" s="1" t="s">
        <v>28</v>
      </c>
      <c r="F36" s="1">
        <v>15.0</v>
      </c>
      <c r="G36" s="3" t="s">
        <v>51</v>
      </c>
      <c r="H36" s="2" t="s">
        <v>36</v>
      </c>
      <c r="I36" s="2" t="s">
        <v>37</v>
      </c>
      <c r="J36" s="1" t="s">
        <v>38</v>
      </c>
      <c r="K36" s="1" t="s">
        <v>58</v>
      </c>
      <c r="L36" s="1">
        <v>9.0</v>
      </c>
      <c r="M36" s="1">
        <v>25.0</v>
      </c>
      <c r="N36" s="1">
        <v>29.0</v>
      </c>
      <c r="O36" s="1">
        <v>4.0</v>
      </c>
      <c r="P36" s="1" t="s">
        <v>64</v>
      </c>
      <c r="Q36" s="1">
        <v>5.0</v>
      </c>
      <c r="R36" s="4">
        <v>0.29186</v>
      </c>
      <c r="S36" s="4">
        <v>0.10563</v>
      </c>
      <c r="T36" s="4">
        <v>-0.18623</v>
      </c>
      <c r="U36" s="1">
        <v>11.0</v>
      </c>
      <c r="V36" s="1" t="s">
        <v>26</v>
      </c>
      <c r="W36" s="1" t="s">
        <v>125</v>
      </c>
      <c r="X36" s="1" t="s">
        <v>126</v>
      </c>
      <c r="Y36" s="3">
        <v>0.0</v>
      </c>
      <c r="Z36" s="3">
        <v>9.0</v>
      </c>
    </row>
    <row r="37">
      <c r="A37" s="3">
        <v>2.0</v>
      </c>
      <c r="B37" s="1" t="s">
        <v>28</v>
      </c>
      <c r="C37" s="1">
        <v>15.0</v>
      </c>
      <c r="D37" s="3" t="s">
        <v>51</v>
      </c>
      <c r="E37" s="1" t="s">
        <v>28</v>
      </c>
      <c r="F37" s="1">
        <v>4.0</v>
      </c>
      <c r="G37" s="3" t="s">
        <v>52</v>
      </c>
      <c r="H37" s="2" t="s">
        <v>36</v>
      </c>
      <c r="I37" s="2" t="s">
        <v>53</v>
      </c>
      <c r="J37" s="1" t="s">
        <v>117</v>
      </c>
      <c r="K37" s="1" t="s">
        <v>69</v>
      </c>
      <c r="L37" s="1">
        <v>5.0</v>
      </c>
      <c r="M37" s="1">
        <v>29.0</v>
      </c>
      <c r="N37" s="1">
        <v>29.0</v>
      </c>
      <c r="O37" s="1">
        <v>0.0</v>
      </c>
      <c r="P37" s="1" t="s">
        <v>70</v>
      </c>
      <c r="Q37" s="1">
        <v>5.0</v>
      </c>
      <c r="R37" s="4">
        <v>0.10563</v>
      </c>
      <c r="S37" s="4">
        <v>-1.53564</v>
      </c>
      <c r="T37" s="4">
        <v>-1.64127</v>
      </c>
      <c r="U37" s="1" t="s">
        <v>27</v>
      </c>
      <c r="V37" s="1" t="s">
        <v>27</v>
      </c>
      <c r="W37" s="1" t="s">
        <v>27</v>
      </c>
      <c r="X37" s="1" t="s">
        <v>127</v>
      </c>
      <c r="Y37" s="3">
        <v>0.0</v>
      </c>
      <c r="Z37" s="3">
        <v>9.0</v>
      </c>
    </row>
    <row r="38">
      <c r="A38" s="3">
        <v>2.0</v>
      </c>
      <c r="B38" s="2" t="s">
        <v>28</v>
      </c>
      <c r="C38" s="1" t="s">
        <v>27</v>
      </c>
      <c r="D38" s="1" t="s">
        <v>27</v>
      </c>
      <c r="E38" s="1" t="s">
        <v>26</v>
      </c>
      <c r="F38" s="1">
        <v>3.0</v>
      </c>
      <c r="G38" s="3" t="s">
        <v>128</v>
      </c>
      <c r="H38" s="2" t="s">
        <v>30</v>
      </c>
      <c r="I38" s="2"/>
      <c r="J38" s="1" t="s">
        <v>129</v>
      </c>
      <c r="K38" s="1" t="s">
        <v>27</v>
      </c>
      <c r="L38" s="1"/>
      <c r="M38" s="1">
        <v>35.0</v>
      </c>
      <c r="N38" s="1">
        <v>41.0</v>
      </c>
      <c r="O38" s="1">
        <v>6.0</v>
      </c>
      <c r="P38" s="1" t="s">
        <v>48</v>
      </c>
      <c r="Q38" s="1">
        <v>10.0</v>
      </c>
      <c r="R38" s="5"/>
      <c r="S38" s="5"/>
      <c r="T38" s="4">
        <v>0.0</v>
      </c>
      <c r="U38" s="1">
        <v>45.0</v>
      </c>
      <c r="V38" s="1" t="s">
        <v>28</v>
      </c>
      <c r="W38" s="1" t="s">
        <v>130</v>
      </c>
      <c r="X38" s="1" t="s">
        <v>131</v>
      </c>
      <c r="Y38" s="3">
        <v>0.0</v>
      </c>
      <c r="Z38" s="3">
        <v>9.0</v>
      </c>
    </row>
    <row r="39">
      <c r="A39" s="3">
        <v>2.0</v>
      </c>
      <c r="B39" s="1" t="s">
        <v>26</v>
      </c>
      <c r="C39" s="1">
        <v>10.0</v>
      </c>
      <c r="D39" s="3" t="s">
        <v>34</v>
      </c>
      <c r="E39" s="1" t="s">
        <v>26</v>
      </c>
      <c r="F39" s="1">
        <v>31.0</v>
      </c>
      <c r="G39" s="3" t="s">
        <v>35</v>
      </c>
      <c r="H39" s="2" t="s">
        <v>36</v>
      </c>
      <c r="I39" s="2" t="s">
        <v>37</v>
      </c>
      <c r="J39" s="1" t="s">
        <v>38</v>
      </c>
      <c r="K39" s="1" t="s">
        <v>39</v>
      </c>
      <c r="L39" s="3">
        <v>10.0</v>
      </c>
      <c r="M39" s="1">
        <v>41.0</v>
      </c>
      <c r="N39" s="1">
        <v>43.0</v>
      </c>
      <c r="O39" s="1">
        <v>2.0</v>
      </c>
      <c r="P39" s="1" t="s">
        <v>54</v>
      </c>
      <c r="Q39" s="1">
        <v>8.0</v>
      </c>
      <c r="R39" s="4">
        <v>2.113366</v>
      </c>
      <c r="S39" s="4">
        <v>1.813973</v>
      </c>
      <c r="T39" s="4">
        <v>-0.29939</v>
      </c>
      <c r="U39" s="1">
        <v>27.0</v>
      </c>
      <c r="V39" s="1" t="s">
        <v>28</v>
      </c>
      <c r="W39" s="1" t="s">
        <v>89</v>
      </c>
      <c r="X39" s="1" t="s">
        <v>132</v>
      </c>
      <c r="Y39" s="3">
        <v>0.0</v>
      </c>
      <c r="Z39" s="3">
        <v>9.0</v>
      </c>
    </row>
    <row r="40">
      <c r="A40" s="3">
        <v>2.0</v>
      </c>
      <c r="B40" s="1" t="s">
        <v>26</v>
      </c>
      <c r="C40" s="1">
        <v>10.0</v>
      </c>
      <c r="D40" s="3" t="s">
        <v>34</v>
      </c>
      <c r="E40" s="1" t="s">
        <v>26</v>
      </c>
      <c r="F40" s="1">
        <v>3.0</v>
      </c>
      <c r="G40" s="3" t="s">
        <v>128</v>
      </c>
      <c r="H40" s="2" t="s">
        <v>36</v>
      </c>
      <c r="I40" s="2" t="s">
        <v>53</v>
      </c>
      <c r="J40" s="1" t="s">
        <v>117</v>
      </c>
      <c r="K40" s="1" t="s">
        <v>58</v>
      </c>
      <c r="L40" s="1">
        <v>8.0</v>
      </c>
      <c r="M40" s="1">
        <v>43.0</v>
      </c>
      <c r="N40" s="1">
        <v>43.0</v>
      </c>
      <c r="O40" s="1">
        <v>0.0</v>
      </c>
      <c r="P40" s="1" t="s">
        <v>64</v>
      </c>
      <c r="Q40" s="1">
        <v>8.0</v>
      </c>
      <c r="R40" s="4">
        <v>1.813973</v>
      </c>
      <c r="S40" s="4">
        <v>0.989085</v>
      </c>
      <c r="T40" s="4">
        <v>-0.82489</v>
      </c>
      <c r="U40" s="1" t="s">
        <v>27</v>
      </c>
      <c r="V40" s="1" t="s">
        <v>27</v>
      </c>
      <c r="W40" s="1" t="s">
        <v>27</v>
      </c>
      <c r="X40" s="1" t="s">
        <v>133</v>
      </c>
      <c r="Y40" s="3">
        <v>0.0</v>
      </c>
      <c r="Z40" s="3">
        <v>9.0</v>
      </c>
    </row>
    <row r="41">
      <c r="A41" s="3">
        <v>2.0</v>
      </c>
      <c r="B41" s="1" t="s">
        <v>26</v>
      </c>
      <c r="C41" s="1">
        <v>10.0</v>
      </c>
      <c r="D41" s="3" t="s">
        <v>34</v>
      </c>
      <c r="E41" s="1" t="s">
        <v>26</v>
      </c>
      <c r="F41" s="1">
        <v>8.0</v>
      </c>
      <c r="G41" s="3" t="s">
        <v>119</v>
      </c>
      <c r="H41" s="2" t="s">
        <v>36</v>
      </c>
      <c r="I41" s="2" t="s">
        <v>53</v>
      </c>
      <c r="J41" s="1" t="s">
        <v>53</v>
      </c>
      <c r="K41" s="1" t="s">
        <v>69</v>
      </c>
      <c r="L41" s="1">
        <v>8.0</v>
      </c>
      <c r="M41" s="1">
        <v>43.0</v>
      </c>
      <c r="N41" s="1">
        <v>-32.0</v>
      </c>
      <c r="O41" s="1">
        <v>25.0</v>
      </c>
      <c r="P41" s="1" t="s">
        <v>48</v>
      </c>
      <c r="Q41" s="1">
        <v>10.0</v>
      </c>
      <c r="R41" s="4">
        <v>0.989085</v>
      </c>
      <c r="S41" s="4">
        <v>3.641137</v>
      </c>
      <c r="T41" s="4">
        <v>2.652052</v>
      </c>
      <c r="U41" s="1" t="s">
        <v>27</v>
      </c>
      <c r="V41" s="1" t="s">
        <v>27</v>
      </c>
      <c r="W41" s="1" t="s">
        <v>27</v>
      </c>
      <c r="X41" s="1" t="s">
        <v>134</v>
      </c>
      <c r="Y41" s="3">
        <v>0.0</v>
      </c>
      <c r="Z41" s="3">
        <v>9.0</v>
      </c>
    </row>
    <row r="42">
      <c r="A42" s="3">
        <v>2.0</v>
      </c>
      <c r="B42" s="1" t="s">
        <v>26</v>
      </c>
      <c r="C42" s="1">
        <v>10.0</v>
      </c>
      <c r="D42" s="3" t="s">
        <v>34</v>
      </c>
      <c r="E42" s="1" t="s">
        <v>26</v>
      </c>
      <c r="F42" s="1">
        <v>31.0</v>
      </c>
      <c r="G42" s="3" t="s">
        <v>35</v>
      </c>
      <c r="H42" s="2" t="s">
        <v>36</v>
      </c>
      <c r="I42" s="2" t="s">
        <v>37</v>
      </c>
      <c r="J42" s="1" t="s">
        <v>38</v>
      </c>
      <c r="K42" s="1" t="s">
        <v>39</v>
      </c>
      <c r="L42" s="3">
        <v>10.0</v>
      </c>
      <c r="M42" s="1">
        <v>-32.0</v>
      </c>
      <c r="N42" s="1">
        <v>-28.0</v>
      </c>
      <c r="O42" s="1">
        <v>4.0</v>
      </c>
      <c r="P42" s="1" t="s">
        <v>54</v>
      </c>
      <c r="Q42" s="1">
        <v>6.0</v>
      </c>
      <c r="R42" s="4">
        <v>3.641137</v>
      </c>
      <c r="S42" s="4">
        <v>3.610853</v>
      </c>
      <c r="T42" s="4">
        <v>-0.03028</v>
      </c>
      <c r="U42" s="1">
        <v>2.0</v>
      </c>
      <c r="V42" s="1" t="s">
        <v>28</v>
      </c>
      <c r="W42" s="1" t="s">
        <v>86</v>
      </c>
      <c r="X42" s="1" t="s">
        <v>113</v>
      </c>
      <c r="Y42" s="3">
        <v>0.0</v>
      </c>
      <c r="Z42" s="3">
        <v>9.0</v>
      </c>
    </row>
    <row r="43">
      <c r="A43" s="3">
        <v>2.0</v>
      </c>
      <c r="B43" s="1" t="s">
        <v>26</v>
      </c>
      <c r="C43" s="1">
        <v>10.0</v>
      </c>
      <c r="D43" s="3" t="s">
        <v>34</v>
      </c>
      <c r="E43" s="1" t="s">
        <v>26</v>
      </c>
      <c r="F43" s="1">
        <v>10.0</v>
      </c>
      <c r="G43" s="3" t="s">
        <v>34</v>
      </c>
      <c r="H43" s="2" t="s">
        <v>36</v>
      </c>
      <c r="I43" s="2" t="s">
        <v>37</v>
      </c>
      <c r="J43" s="1" t="s">
        <v>38</v>
      </c>
      <c r="K43" s="1" t="s">
        <v>58</v>
      </c>
      <c r="L43" s="1">
        <v>6.0</v>
      </c>
      <c r="M43" s="1">
        <v>-28.0</v>
      </c>
      <c r="N43" s="1">
        <v>-23.0</v>
      </c>
      <c r="O43" s="1">
        <v>5.0</v>
      </c>
      <c r="P43" s="1" t="s">
        <v>64</v>
      </c>
      <c r="Q43" s="1">
        <v>1.0</v>
      </c>
      <c r="R43" s="4">
        <v>3.610853</v>
      </c>
      <c r="S43" s="4">
        <v>3.681476</v>
      </c>
      <c r="T43" s="4">
        <v>0.070623</v>
      </c>
      <c r="U43" s="1">
        <v>79.0</v>
      </c>
      <c r="V43" s="1" t="s">
        <v>28</v>
      </c>
      <c r="W43" s="1" t="s">
        <v>135</v>
      </c>
      <c r="X43" s="1" t="s">
        <v>136</v>
      </c>
      <c r="Y43" s="3">
        <v>0.0</v>
      </c>
      <c r="Z43" s="3">
        <v>9.0</v>
      </c>
    </row>
    <row r="44">
      <c r="A44" s="3">
        <v>2.0</v>
      </c>
      <c r="B44" s="1" t="s">
        <v>26</v>
      </c>
      <c r="C44" s="1">
        <v>31.0</v>
      </c>
      <c r="D44" s="1" t="s">
        <v>137</v>
      </c>
      <c r="E44" s="1" t="s">
        <v>26</v>
      </c>
      <c r="F44" s="1">
        <v>31.0</v>
      </c>
      <c r="G44" s="3" t="s">
        <v>35</v>
      </c>
      <c r="H44" s="2" t="s">
        <v>36</v>
      </c>
      <c r="I44" s="2" t="s">
        <v>37</v>
      </c>
      <c r="J44" s="1" t="s">
        <v>38</v>
      </c>
      <c r="K44" s="1" t="s">
        <v>69</v>
      </c>
      <c r="L44" s="1">
        <v>1.0</v>
      </c>
      <c r="M44" s="1">
        <v>-23.0</v>
      </c>
      <c r="N44" s="1">
        <v>-15.0</v>
      </c>
      <c r="O44" s="1">
        <v>8.0</v>
      </c>
      <c r="P44" s="1" t="s">
        <v>48</v>
      </c>
      <c r="Q44" s="1">
        <v>10.0</v>
      </c>
      <c r="R44" s="4">
        <v>3.681476</v>
      </c>
      <c r="S44" s="4">
        <v>4.282</v>
      </c>
      <c r="T44" s="4">
        <v>0.600523</v>
      </c>
      <c r="U44" s="1">
        <v>0.0</v>
      </c>
      <c r="V44" s="1" t="s">
        <v>28</v>
      </c>
      <c r="W44" s="1" t="s">
        <v>138</v>
      </c>
      <c r="X44" s="1" t="s">
        <v>139</v>
      </c>
      <c r="Y44" s="3">
        <v>0.0</v>
      </c>
      <c r="Z44" s="3">
        <v>9.0</v>
      </c>
    </row>
    <row r="45">
      <c r="A45" s="3">
        <v>2.0</v>
      </c>
      <c r="B45" s="1" t="s">
        <v>26</v>
      </c>
      <c r="C45" s="1" t="s">
        <v>27</v>
      </c>
      <c r="D45" s="1" t="s">
        <v>27</v>
      </c>
      <c r="E45" s="1" t="s">
        <v>26</v>
      </c>
      <c r="F45" s="1" t="s">
        <v>27</v>
      </c>
      <c r="G45" s="1" t="s">
        <v>27</v>
      </c>
      <c r="H45" s="2" t="s">
        <v>36</v>
      </c>
      <c r="I45" s="2"/>
      <c r="J45" s="1" t="s">
        <v>106</v>
      </c>
      <c r="K45" s="1" t="s">
        <v>39</v>
      </c>
      <c r="L45" s="3">
        <v>10.0</v>
      </c>
      <c r="M45" s="1">
        <v>-15.0</v>
      </c>
      <c r="N45" s="1">
        <v>-20.0</v>
      </c>
      <c r="O45" s="1">
        <v>-5.0</v>
      </c>
      <c r="P45" s="1" t="s">
        <v>48</v>
      </c>
      <c r="Q45" s="1">
        <v>15.0</v>
      </c>
      <c r="R45" s="4">
        <v>4.282</v>
      </c>
      <c r="S45" s="4">
        <v>3.857432</v>
      </c>
      <c r="T45" s="4">
        <v>-0.42457</v>
      </c>
      <c r="U45" s="1" t="s">
        <v>27</v>
      </c>
      <c r="V45" s="1" t="s">
        <v>27</v>
      </c>
      <c r="W45" s="1" t="s">
        <v>27</v>
      </c>
      <c r="X45" s="1" t="s">
        <v>107</v>
      </c>
      <c r="Y45" s="3">
        <v>0.0</v>
      </c>
      <c r="Z45" s="3">
        <v>9.0</v>
      </c>
    </row>
    <row r="46">
      <c r="A46" s="3">
        <v>2.0</v>
      </c>
      <c r="B46" s="1" t="s">
        <v>26</v>
      </c>
      <c r="C46" s="1">
        <v>10.0</v>
      </c>
      <c r="D46" s="3" t="s">
        <v>34</v>
      </c>
      <c r="E46" s="1" t="s">
        <v>26</v>
      </c>
      <c r="F46" s="1">
        <v>31.0</v>
      </c>
      <c r="G46" s="3" t="s">
        <v>35</v>
      </c>
      <c r="H46" s="2" t="s">
        <v>36</v>
      </c>
      <c r="I46" s="2" t="s">
        <v>37</v>
      </c>
      <c r="J46" s="1" t="s">
        <v>38</v>
      </c>
      <c r="K46" s="1" t="s">
        <v>39</v>
      </c>
      <c r="L46" s="1">
        <v>15.0</v>
      </c>
      <c r="M46" s="1">
        <v>-20.0</v>
      </c>
      <c r="N46" s="1">
        <v>-18.0</v>
      </c>
      <c r="O46" s="1">
        <v>2.0</v>
      </c>
      <c r="P46" s="1" t="s">
        <v>54</v>
      </c>
      <c r="Q46" s="1">
        <v>13.0</v>
      </c>
      <c r="R46" s="4">
        <v>3.857432</v>
      </c>
      <c r="S46" s="4">
        <v>3.838565</v>
      </c>
      <c r="T46" s="4">
        <v>-0.01887</v>
      </c>
      <c r="U46" s="1">
        <v>2.0</v>
      </c>
      <c r="V46" s="1" t="s">
        <v>28</v>
      </c>
      <c r="W46" s="1" t="s">
        <v>86</v>
      </c>
      <c r="X46" s="1" t="s">
        <v>132</v>
      </c>
      <c r="Y46" s="3">
        <v>0.0</v>
      </c>
      <c r="Z46" s="3">
        <v>9.0</v>
      </c>
    </row>
    <row r="47">
      <c r="A47" s="3">
        <v>2.0</v>
      </c>
      <c r="B47" s="1" t="s">
        <v>26</v>
      </c>
      <c r="C47" s="1">
        <v>10.0</v>
      </c>
      <c r="D47" s="3" t="s">
        <v>34</v>
      </c>
      <c r="E47" s="1" t="s">
        <v>26</v>
      </c>
      <c r="F47" s="1">
        <v>10.0</v>
      </c>
      <c r="G47" s="3" t="s">
        <v>34</v>
      </c>
      <c r="H47" s="2" t="s">
        <v>36</v>
      </c>
      <c r="I47" s="2" t="s">
        <v>37</v>
      </c>
      <c r="J47" s="1" t="s">
        <v>38</v>
      </c>
      <c r="K47" s="1" t="s">
        <v>58</v>
      </c>
      <c r="L47" s="1">
        <v>13.0</v>
      </c>
      <c r="M47" s="1">
        <v>-18.0</v>
      </c>
      <c r="N47" s="1">
        <v>-12.0</v>
      </c>
      <c r="O47" s="1">
        <v>6.0</v>
      </c>
      <c r="P47" s="1" t="s">
        <v>64</v>
      </c>
      <c r="Q47" s="1">
        <v>7.0</v>
      </c>
      <c r="R47" s="4">
        <v>3.838565</v>
      </c>
      <c r="S47" s="4">
        <v>3.287756</v>
      </c>
      <c r="T47" s="4">
        <v>-0.55081</v>
      </c>
      <c r="U47" s="1">
        <v>29.0</v>
      </c>
      <c r="V47" s="1" t="s">
        <v>28</v>
      </c>
      <c r="W47" s="1" t="s">
        <v>80</v>
      </c>
      <c r="X47" s="1" t="s">
        <v>140</v>
      </c>
      <c r="Y47" s="3">
        <v>0.0</v>
      </c>
      <c r="Z47" s="3">
        <v>9.0</v>
      </c>
    </row>
    <row r="48">
      <c r="A48" s="3">
        <v>2.0</v>
      </c>
      <c r="B48" s="1" t="s">
        <v>26</v>
      </c>
      <c r="C48" s="1">
        <v>10.0</v>
      </c>
      <c r="D48" s="3" t="s">
        <v>34</v>
      </c>
      <c r="E48" s="1" t="s">
        <v>26</v>
      </c>
      <c r="F48" s="1">
        <v>6.0</v>
      </c>
      <c r="G48" s="1" t="s">
        <v>141</v>
      </c>
      <c r="H48" s="2" t="s">
        <v>36</v>
      </c>
      <c r="I48" s="2" t="s">
        <v>53</v>
      </c>
      <c r="J48" s="1" t="s">
        <v>117</v>
      </c>
      <c r="K48" s="1" t="s">
        <v>69</v>
      </c>
      <c r="L48" s="1">
        <v>7.0</v>
      </c>
      <c r="M48" s="1">
        <v>-12.0</v>
      </c>
      <c r="N48" s="1">
        <v>-12.0</v>
      </c>
      <c r="O48" s="1">
        <v>0.0</v>
      </c>
      <c r="P48" s="1" t="s">
        <v>70</v>
      </c>
      <c r="Q48" s="1">
        <v>7.0</v>
      </c>
      <c r="R48" s="4">
        <v>3.287756</v>
      </c>
      <c r="S48" s="4">
        <v>2.798019</v>
      </c>
      <c r="T48" s="4">
        <v>-0.48974</v>
      </c>
      <c r="U48" s="1" t="s">
        <v>27</v>
      </c>
      <c r="V48" s="1" t="s">
        <v>27</v>
      </c>
      <c r="W48" s="1" t="s">
        <v>27</v>
      </c>
      <c r="X48" s="1" t="s">
        <v>142</v>
      </c>
      <c r="Y48" s="3">
        <v>0.0</v>
      </c>
      <c r="Z48" s="3">
        <v>9.0</v>
      </c>
    </row>
    <row r="49">
      <c r="A49" s="3">
        <v>2.0</v>
      </c>
      <c r="B49" s="1" t="s">
        <v>26</v>
      </c>
      <c r="C49" s="1" t="s">
        <v>27</v>
      </c>
      <c r="D49" s="1" t="s">
        <v>27</v>
      </c>
      <c r="E49" s="1" t="s">
        <v>26</v>
      </c>
      <c r="F49" s="1">
        <v>42.0</v>
      </c>
      <c r="G49" s="3" t="s">
        <v>93</v>
      </c>
      <c r="H49" s="2" t="s">
        <v>30</v>
      </c>
      <c r="I49" s="2"/>
      <c r="J49" s="1" t="s">
        <v>94</v>
      </c>
      <c r="K49" s="1" t="s">
        <v>74</v>
      </c>
      <c r="L49" s="1">
        <v>7.0</v>
      </c>
      <c r="M49" s="1">
        <v>-19.0</v>
      </c>
      <c r="N49" s="1">
        <v>0.0</v>
      </c>
      <c r="O49" s="1">
        <v>29.0</v>
      </c>
      <c r="P49" s="1" t="s">
        <v>95</v>
      </c>
      <c r="Q49" s="1"/>
      <c r="R49" s="4">
        <v>2.798019</v>
      </c>
      <c r="S49" s="4">
        <v>3.0</v>
      </c>
      <c r="T49" s="4">
        <v>0.20198099999999997</v>
      </c>
      <c r="U49" s="1" t="s">
        <v>27</v>
      </c>
      <c r="V49" s="1" t="s">
        <v>27</v>
      </c>
      <c r="W49" s="1" t="s">
        <v>27</v>
      </c>
      <c r="X49" s="1" t="s">
        <v>96</v>
      </c>
      <c r="Y49" s="3">
        <v>0.0</v>
      </c>
      <c r="Z49" s="3">
        <v>12.0</v>
      </c>
    </row>
    <row r="50">
      <c r="A50" s="3">
        <v>2.0</v>
      </c>
      <c r="B50" s="1" t="s">
        <v>28</v>
      </c>
      <c r="C50" s="1" t="s">
        <v>27</v>
      </c>
      <c r="D50" s="1" t="s">
        <v>27</v>
      </c>
      <c r="E50" s="1" t="s">
        <v>28</v>
      </c>
      <c r="F50" s="1">
        <v>81.0</v>
      </c>
      <c r="G50" s="3" t="s">
        <v>46</v>
      </c>
      <c r="H50" s="2" t="s">
        <v>30</v>
      </c>
      <c r="I50" s="2"/>
      <c r="J50" s="1" t="s">
        <v>47</v>
      </c>
      <c r="K50" s="1" t="s">
        <v>27</v>
      </c>
      <c r="L50" s="1"/>
      <c r="M50" s="1">
        <v>3.0</v>
      </c>
      <c r="N50" s="1">
        <v>23.0</v>
      </c>
      <c r="O50" s="1">
        <v>20.0</v>
      </c>
      <c r="P50" s="1" t="s">
        <v>48</v>
      </c>
      <c r="Q50" s="1">
        <v>10.0</v>
      </c>
      <c r="R50" s="4">
        <v>0.0</v>
      </c>
      <c r="S50" s="4">
        <v>0.729934</v>
      </c>
      <c r="T50" s="4">
        <v>0.729934</v>
      </c>
      <c r="U50" s="1">
        <v>46.0</v>
      </c>
      <c r="V50" s="1" t="s">
        <v>26</v>
      </c>
      <c r="W50" s="1" t="s">
        <v>27</v>
      </c>
      <c r="X50" s="1" t="s">
        <v>143</v>
      </c>
      <c r="Y50" s="3">
        <v>0.0</v>
      </c>
      <c r="Z50" s="3">
        <v>12.0</v>
      </c>
    </row>
    <row r="51">
      <c r="A51" s="3">
        <v>2.0</v>
      </c>
      <c r="B51" s="1" t="s">
        <v>28</v>
      </c>
      <c r="C51" s="1">
        <v>15.0</v>
      </c>
      <c r="D51" s="3" t="s">
        <v>51</v>
      </c>
      <c r="E51" s="1" t="s">
        <v>28</v>
      </c>
      <c r="F51" s="1">
        <v>17.0</v>
      </c>
      <c r="G51" s="1" t="s">
        <v>144</v>
      </c>
      <c r="H51" s="2" t="s">
        <v>36</v>
      </c>
      <c r="I51" s="2" t="s">
        <v>53</v>
      </c>
      <c r="J51" s="1" t="s">
        <v>53</v>
      </c>
      <c r="K51" s="1" t="s">
        <v>39</v>
      </c>
      <c r="L51" s="3">
        <v>10.0</v>
      </c>
      <c r="M51" s="1">
        <v>23.0</v>
      </c>
      <c r="N51" s="1">
        <v>0.0</v>
      </c>
      <c r="O51" s="1">
        <v>77.0</v>
      </c>
      <c r="P51" s="1" t="s">
        <v>40</v>
      </c>
      <c r="Q51" s="1"/>
      <c r="R51" s="4">
        <v>0.729934</v>
      </c>
      <c r="S51" s="4">
        <v>7.0</v>
      </c>
      <c r="T51" s="4">
        <v>6.270066</v>
      </c>
      <c r="U51" s="1" t="s">
        <v>27</v>
      </c>
      <c r="V51" s="1" t="s">
        <v>27</v>
      </c>
      <c r="W51" s="1" t="s">
        <v>27</v>
      </c>
      <c r="X51" s="1" t="s">
        <v>145</v>
      </c>
      <c r="Y51" s="3">
        <v>6.0</v>
      </c>
      <c r="Z51" s="3">
        <v>12.0</v>
      </c>
    </row>
    <row r="52">
      <c r="A52" s="3">
        <v>2.0</v>
      </c>
      <c r="B52" s="1" t="s">
        <v>28</v>
      </c>
      <c r="C52" s="1" t="s">
        <v>27</v>
      </c>
      <c r="D52" s="1" t="s">
        <v>27</v>
      </c>
      <c r="E52" s="1" t="s">
        <v>28</v>
      </c>
      <c r="F52" s="1">
        <v>28.0</v>
      </c>
      <c r="G52" s="3" t="s">
        <v>29</v>
      </c>
      <c r="H52" s="2" t="s">
        <v>30</v>
      </c>
      <c r="I52" s="2"/>
      <c r="J52" s="1" t="s">
        <v>43</v>
      </c>
      <c r="K52" s="1" t="s">
        <v>27</v>
      </c>
      <c r="L52" s="1"/>
      <c r="M52" s="1">
        <v>-10.0</v>
      </c>
      <c r="N52" s="1">
        <v>0.0</v>
      </c>
      <c r="O52" s="1">
        <v>20.0</v>
      </c>
      <c r="P52" s="1" t="s">
        <v>146</v>
      </c>
      <c r="Q52" s="1"/>
      <c r="R52" s="5"/>
      <c r="S52" s="5"/>
      <c r="T52" s="4">
        <v>0.0</v>
      </c>
      <c r="U52" s="1" t="s">
        <v>27</v>
      </c>
      <c r="V52" s="1" t="s">
        <v>27</v>
      </c>
      <c r="W52" s="1" t="s">
        <v>27</v>
      </c>
      <c r="X52" s="1" t="s">
        <v>147</v>
      </c>
      <c r="Y52" s="3">
        <v>7.0</v>
      </c>
      <c r="Z52" s="3">
        <v>12.0</v>
      </c>
    </row>
    <row r="53">
      <c r="A53" s="3">
        <v>2.0</v>
      </c>
      <c r="B53" s="1" t="s">
        <v>26</v>
      </c>
      <c r="C53" s="1" t="s">
        <v>27</v>
      </c>
      <c r="D53" s="1" t="s">
        <v>27</v>
      </c>
      <c r="E53" s="1" t="s">
        <v>26</v>
      </c>
      <c r="F53" s="1">
        <v>20.0</v>
      </c>
      <c r="G53" s="1" t="s">
        <v>148</v>
      </c>
      <c r="H53" s="2" t="s">
        <v>30</v>
      </c>
      <c r="I53" s="2"/>
      <c r="J53" s="1" t="s">
        <v>47</v>
      </c>
      <c r="K53" s="1" t="s">
        <v>27</v>
      </c>
      <c r="L53" s="1"/>
      <c r="M53" s="1">
        <v>0.0</v>
      </c>
      <c r="N53" s="1">
        <v>28.0</v>
      </c>
      <c r="O53" s="1">
        <v>28.0</v>
      </c>
      <c r="P53" s="1" t="s">
        <v>48</v>
      </c>
      <c r="Q53" s="1">
        <v>10.0</v>
      </c>
      <c r="R53" s="4">
        <v>0.0</v>
      </c>
      <c r="S53" s="4">
        <v>1.136436</v>
      </c>
      <c r="T53" s="4">
        <v>1.136436</v>
      </c>
      <c r="U53" s="1" t="s">
        <v>27</v>
      </c>
      <c r="V53" s="1" t="s">
        <v>27</v>
      </c>
      <c r="W53" s="1" t="s">
        <v>27</v>
      </c>
      <c r="X53" s="1" t="s">
        <v>149</v>
      </c>
      <c r="Y53" s="3">
        <v>7.0</v>
      </c>
      <c r="Z53" s="3">
        <v>12.0</v>
      </c>
    </row>
    <row r="54">
      <c r="A54" s="3">
        <v>2.0</v>
      </c>
      <c r="B54" s="1" t="s">
        <v>26</v>
      </c>
      <c r="C54" s="1">
        <v>10.0</v>
      </c>
      <c r="D54" s="3" t="s">
        <v>34</v>
      </c>
      <c r="E54" s="1" t="s">
        <v>26</v>
      </c>
      <c r="F54" s="1">
        <v>31.0</v>
      </c>
      <c r="G54" s="3" t="s">
        <v>35</v>
      </c>
      <c r="H54" s="2" t="s">
        <v>36</v>
      </c>
      <c r="I54" s="2" t="s">
        <v>37</v>
      </c>
      <c r="J54" s="1" t="s">
        <v>38</v>
      </c>
      <c r="K54" s="1" t="s">
        <v>39</v>
      </c>
      <c r="L54" s="3">
        <v>10.0</v>
      </c>
      <c r="M54" s="1">
        <v>28.0</v>
      </c>
      <c r="N54" s="1">
        <v>28.0</v>
      </c>
      <c r="O54" s="1">
        <v>0.0</v>
      </c>
      <c r="P54" s="1" t="s">
        <v>54</v>
      </c>
      <c r="Q54" s="1">
        <v>10.0</v>
      </c>
      <c r="R54" s="4">
        <v>1.136436</v>
      </c>
      <c r="S54" s="4">
        <v>0.520735</v>
      </c>
      <c r="T54" s="4">
        <v>-0.6157</v>
      </c>
      <c r="U54" s="1">
        <v>91.0</v>
      </c>
      <c r="V54" s="1" t="s">
        <v>28</v>
      </c>
      <c r="W54" s="1" t="s">
        <v>150</v>
      </c>
      <c r="X54" s="1" t="s">
        <v>151</v>
      </c>
      <c r="Y54" s="3">
        <v>7.0</v>
      </c>
      <c r="Z54" s="3">
        <v>12.0</v>
      </c>
    </row>
    <row r="55">
      <c r="A55" s="3">
        <v>2.0</v>
      </c>
      <c r="B55" s="1" t="s">
        <v>26</v>
      </c>
      <c r="C55" s="1">
        <v>10.0</v>
      </c>
      <c r="D55" s="3" t="s">
        <v>34</v>
      </c>
      <c r="E55" s="1" t="s">
        <v>26</v>
      </c>
      <c r="F55" s="1">
        <v>31.0</v>
      </c>
      <c r="G55" s="3" t="s">
        <v>35</v>
      </c>
      <c r="H55" s="2" t="s">
        <v>36</v>
      </c>
      <c r="I55" s="2" t="s">
        <v>37</v>
      </c>
      <c r="J55" s="1" t="s">
        <v>38</v>
      </c>
      <c r="K55" s="1" t="s">
        <v>58</v>
      </c>
      <c r="L55" s="1">
        <v>10.0</v>
      </c>
      <c r="M55" s="1">
        <v>28.0</v>
      </c>
      <c r="N55" s="1">
        <v>33.0</v>
      </c>
      <c r="O55" s="1">
        <v>5.0</v>
      </c>
      <c r="P55" s="1" t="s">
        <v>64</v>
      </c>
      <c r="Q55" s="1">
        <v>5.0</v>
      </c>
      <c r="R55" s="4">
        <v>0.520735</v>
      </c>
      <c r="S55" s="4">
        <v>0.4793</v>
      </c>
      <c r="T55" s="4">
        <v>-0.04144</v>
      </c>
      <c r="U55" s="1">
        <v>91.0</v>
      </c>
      <c r="V55" s="1" t="s">
        <v>28</v>
      </c>
      <c r="W55" s="1" t="s">
        <v>150</v>
      </c>
      <c r="X55" s="1" t="s">
        <v>152</v>
      </c>
      <c r="Y55" s="3">
        <v>7.0</v>
      </c>
      <c r="Z55" s="3">
        <v>12.0</v>
      </c>
    </row>
    <row r="56">
      <c r="A56" s="3">
        <v>2.0</v>
      </c>
      <c r="B56" s="1" t="s">
        <v>26</v>
      </c>
      <c r="C56" s="1">
        <v>10.0</v>
      </c>
      <c r="D56" s="3" t="s">
        <v>34</v>
      </c>
      <c r="E56" s="1" t="s">
        <v>26</v>
      </c>
      <c r="F56" s="1">
        <v>82.0</v>
      </c>
      <c r="G56" s="3" t="s">
        <v>116</v>
      </c>
      <c r="H56" s="2" t="s">
        <v>36</v>
      </c>
      <c r="I56" s="2" t="s">
        <v>53</v>
      </c>
      <c r="J56" s="1" t="s">
        <v>53</v>
      </c>
      <c r="K56" s="1" t="s">
        <v>69</v>
      </c>
      <c r="L56" s="1">
        <v>5.0</v>
      </c>
      <c r="M56" s="1">
        <v>33.0</v>
      </c>
      <c r="N56" s="1">
        <v>45.0</v>
      </c>
      <c r="O56" s="1">
        <v>12.0</v>
      </c>
      <c r="P56" s="1" t="s">
        <v>48</v>
      </c>
      <c r="Q56" s="1">
        <v>10.0</v>
      </c>
      <c r="R56" s="4">
        <v>0.4793</v>
      </c>
      <c r="S56" s="4">
        <v>2.387414</v>
      </c>
      <c r="T56" s="4">
        <v>1.908115</v>
      </c>
      <c r="U56" s="1" t="s">
        <v>27</v>
      </c>
      <c r="V56" s="1" t="s">
        <v>27</v>
      </c>
      <c r="W56" s="1" t="s">
        <v>27</v>
      </c>
      <c r="X56" s="1" t="s">
        <v>153</v>
      </c>
      <c r="Y56" s="3">
        <v>7.0</v>
      </c>
      <c r="Z56" s="3">
        <v>12.0</v>
      </c>
    </row>
    <row r="57">
      <c r="A57" s="3">
        <v>2.0</v>
      </c>
      <c r="B57" s="1" t="s">
        <v>26</v>
      </c>
      <c r="C57" s="1">
        <v>10.0</v>
      </c>
      <c r="D57" s="3" t="s">
        <v>34</v>
      </c>
      <c r="E57" s="1" t="s">
        <v>26</v>
      </c>
      <c r="F57" s="1">
        <v>20.0</v>
      </c>
      <c r="G57" s="1" t="s">
        <v>148</v>
      </c>
      <c r="H57" s="2" t="s">
        <v>36</v>
      </c>
      <c r="I57" s="2" t="s">
        <v>37</v>
      </c>
      <c r="J57" s="1" t="s">
        <v>38</v>
      </c>
      <c r="K57" s="1" t="s">
        <v>39</v>
      </c>
      <c r="L57" s="3">
        <v>10.0</v>
      </c>
      <c r="M57" s="1">
        <v>45.0</v>
      </c>
      <c r="N57" s="1">
        <v>45.0</v>
      </c>
      <c r="O57" s="1">
        <v>0.0</v>
      </c>
      <c r="P57" s="1" t="s">
        <v>54</v>
      </c>
      <c r="Q57" s="1">
        <v>10.0</v>
      </c>
      <c r="R57" s="4">
        <v>2.387414</v>
      </c>
      <c r="S57" s="4">
        <v>1.818429</v>
      </c>
      <c r="T57" s="4">
        <v>-0.56899</v>
      </c>
      <c r="U57" s="1">
        <v>55.0</v>
      </c>
      <c r="V57" s="1" t="s">
        <v>28</v>
      </c>
      <c r="W57" s="1" t="s">
        <v>78</v>
      </c>
      <c r="X57" s="2" t="s">
        <v>154</v>
      </c>
      <c r="Y57" s="3">
        <v>7.0</v>
      </c>
      <c r="Z57" s="3">
        <v>12.0</v>
      </c>
    </row>
    <row r="58">
      <c r="A58" s="3">
        <v>2.0</v>
      </c>
      <c r="B58" s="1" t="s">
        <v>26</v>
      </c>
      <c r="C58" s="1">
        <v>10.0</v>
      </c>
      <c r="D58" s="3" t="s">
        <v>34</v>
      </c>
      <c r="E58" s="1" t="s">
        <v>26</v>
      </c>
      <c r="F58" s="1">
        <v>20.0</v>
      </c>
      <c r="G58" s="1" t="s">
        <v>148</v>
      </c>
      <c r="H58" s="2" t="s">
        <v>36</v>
      </c>
      <c r="I58" s="2" t="s">
        <v>37</v>
      </c>
      <c r="J58" s="1" t="s">
        <v>38</v>
      </c>
      <c r="K58" s="1" t="s">
        <v>58</v>
      </c>
      <c r="L58" s="1">
        <v>10.0</v>
      </c>
      <c r="M58" s="1">
        <v>45.0</v>
      </c>
      <c r="N58" s="1">
        <v>45.0</v>
      </c>
      <c r="O58" s="1">
        <v>0.0</v>
      </c>
      <c r="P58" s="1" t="s">
        <v>64</v>
      </c>
      <c r="Q58" s="1">
        <v>10.0</v>
      </c>
      <c r="R58" s="4">
        <v>1.818429</v>
      </c>
      <c r="S58" s="4">
        <v>1.052055</v>
      </c>
      <c r="T58" s="4">
        <v>-0.76637</v>
      </c>
      <c r="U58" s="1">
        <v>91.0</v>
      </c>
      <c r="V58" s="1" t="s">
        <v>28</v>
      </c>
      <c r="W58" s="1" t="s">
        <v>150</v>
      </c>
      <c r="X58" s="2" t="s">
        <v>155</v>
      </c>
      <c r="Y58" s="3">
        <v>7.0</v>
      </c>
      <c r="Z58" s="3">
        <v>12.0</v>
      </c>
    </row>
    <row r="59">
      <c r="A59" s="3">
        <v>2.0</v>
      </c>
      <c r="B59" s="1" t="s">
        <v>26</v>
      </c>
      <c r="C59" s="1">
        <v>10.0</v>
      </c>
      <c r="D59" s="3" t="s">
        <v>34</v>
      </c>
      <c r="E59" s="1" t="s">
        <v>26</v>
      </c>
      <c r="F59" s="1">
        <v>10.0</v>
      </c>
      <c r="G59" s="3" t="s">
        <v>34</v>
      </c>
      <c r="H59" s="2" t="s">
        <v>36</v>
      </c>
      <c r="I59" s="2" t="s">
        <v>37</v>
      </c>
      <c r="J59" s="1" t="s">
        <v>38</v>
      </c>
      <c r="K59" s="1" t="s">
        <v>69</v>
      </c>
      <c r="L59" s="1">
        <v>10.0</v>
      </c>
      <c r="M59" s="1">
        <v>45.0</v>
      </c>
      <c r="N59" s="1">
        <v>49.0</v>
      </c>
      <c r="O59" s="1">
        <v>4.0</v>
      </c>
      <c r="P59" s="1" t="s">
        <v>70</v>
      </c>
      <c r="Q59" s="1">
        <v>6.0</v>
      </c>
      <c r="R59" s="4">
        <v>1.052055</v>
      </c>
      <c r="S59" s="4">
        <v>-0.957550942</v>
      </c>
      <c r="T59" s="4">
        <v>-2.009605942</v>
      </c>
      <c r="U59" s="1">
        <v>2.0</v>
      </c>
      <c r="V59" s="1" t="s">
        <v>28</v>
      </c>
      <c r="W59" s="1" t="s">
        <v>86</v>
      </c>
      <c r="X59" s="1" t="s">
        <v>156</v>
      </c>
      <c r="Y59" s="3">
        <v>7.0</v>
      </c>
      <c r="Z59" s="3">
        <v>12.0</v>
      </c>
    </row>
    <row r="60">
      <c r="A60" s="3">
        <v>2.0</v>
      </c>
      <c r="B60" s="1" t="s">
        <v>26</v>
      </c>
      <c r="C60" s="1" t="s">
        <v>27</v>
      </c>
      <c r="D60" s="1" t="s">
        <v>27</v>
      </c>
      <c r="E60" s="1" t="s">
        <v>26</v>
      </c>
      <c r="F60" s="1">
        <v>8.0</v>
      </c>
      <c r="G60" s="3" t="s">
        <v>119</v>
      </c>
      <c r="H60" s="2" t="s">
        <v>30</v>
      </c>
      <c r="I60" s="2"/>
      <c r="J60" s="1" t="s">
        <v>73</v>
      </c>
      <c r="K60" s="3" t="s">
        <v>74</v>
      </c>
      <c r="L60" s="3">
        <v>6.0</v>
      </c>
      <c r="M60" s="1">
        <v>35.0</v>
      </c>
      <c r="N60" s="1">
        <v>-25.0</v>
      </c>
      <c r="O60" s="1">
        <v>40.0</v>
      </c>
      <c r="P60" s="1" t="s">
        <v>157</v>
      </c>
      <c r="Q60" s="1"/>
      <c r="R60" s="4">
        <v>-0.957550942</v>
      </c>
      <c r="S60" s="4">
        <v>3.920651</v>
      </c>
      <c r="T60" s="6">
        <v>4.88</v>
      </c>
      <c r="U60" s="1" t="s">
        <v>27</v>
      </c>
      <c r="V60" s="1" t="s">
        <v>27</v>
      </c>
      <c r="W60" s="1" t="s">
        <v>27</v>
      </c>
      <c r="X60" s="1" t="s">
        <v>158</v>
      </c>
      <c r="Y60" s="3">
        <v>7.0</v>
      </c>
      <c r="Z60" s="3">
        <v>12.0</v>
      </c>
    </row>
    <row r="61">
      <c r="A61" s="3">
        <v>2.0</v>
      </c>
      <c r="B61" s="1" t="s">
        <v>26</v>
      </c>
      <c r="C61" s="1">
        <v>10.0</v>
      </c>
      <c r="D61" s="3" t="s">
        <v>34</v>
      </c>
      <c r="E61" s="1" t="s">
        <v>26</v>
      </c>
      <c r="F61" s="1">
        <v>3.0</v>
      </c>
      <c r="G61" s="3" t="s">
        <v>128</v>
      </c>
      <c r="H61" s="2" t="s">
        <v>36</v>
      </c>
      <c r="I61" s="2" t="s">
        <v>53</v>
      </c>
      <c r="J61" s="1" t="s">
        <v>117</v>
      </c>
      <c r="K61" s="1" t="s">
        <v>39</v>
      </c>
      <c r="L61" s="3">
        <v>10.0</v>
      </c>
      <c r="M61" s="1">
        <v>-25.0</v>
      </c>
      <c r="N61" s="1">
        <v>-25.0</v>
      </c>
      <c r="O61" s="1">
        <v>0.0</v>
      </c>
      <c r="P61" s="1" t="s">
        <v>54</v>
      </c>
      <c r="Q61" s="1">
        <v>10.0</v>
      </c>
      <c r="R61" s="4">
        <v>3.920651</v>
      </c>
      <c r="S61" s="4">
        <v>3.406558</v>
      </c>
      <c r="T61" s="4">
        <v>-0.51409</v>
      </c>
      <c r="U61" s="1" t="s">
        <v>27</v>
      </c>
      <c r="V61" s="1" t="s">
        <v>27</v>
      </c>
      <c r="W61" s="1" t="s">
        <v>27</v>
      </c>
      <c r="X61" s="1" t="s">
        <v>133</v>
      </c>
      <c r="Y61" s="3">
        <v>7.0</v>
      </c>
      <c r="Z61" s="3">
        <v>12.0</v>
      </c>
    </row>
    <row r="62">
      <c r="A62" s="3">
        <v>2.0</v>
      </c>
      <c r="B62" s="1" t="s">
        <v>26</v>
      </c>
      <c r="C62" s="1">
        <v>10.0</v>
      </c>
      <c r="D62" s="3" t="s">
        <v>34</v>
      </c>
      <c r="E62" s="1" t="s">
        <v>26</v>
      </c>
      <c r="F62" s="1">
        <v>8.0</v>
      </c>
      <c r="G62" s="3" t="s">
        <v>119</v>
      </c>
      <c r="H62" s="2" t="s">
        <v>36</v>
      </c>
      <c r="I62" s="2" t="s">
        <v>53</v>
      </c>
      <c r="J62" s="1" t="s">
        <v>53</v>
      </c>
      <c r="K62" s="1" t="s">
        <v>58</v>
      </c>
      <c r="L62" s="1">
        <v>10.0</v>
      </c>
      <c r="M62" s="1">
        <v>-25.0</v>
      </c>
      <c r="N62" s="1">
        <v>-21.0</v>
      </c>
      <c r="O62" s="1">
        <v>4.0</v>
      </c>
      <c r="P62" s="1" t="s">
        <v>64</v>
      </c>
      <c r="Q62" s="1">
        <v>6.0</v>
      </c>
      <c r="R62" s="4">
        <v>3.406558</v>
      </c>
      <c r="S62" s="4">
        <v>3.162146</v>
      </c>
      <c r="T62" s="4">
        <v>-0.24441</v>
      </c>
      <c r="U62" s="1">
        <v>10.0</v>
      </c>
      <c r="V62" s="1" t="s">
        <v>28</v>
      </c>
      <c r="W62" s="1" t="s">
        <v>114</v>
      </c>
      <c r="X62" s="1" t="s">
        <v>159</v>
      </c>
      <c r="Y62" s="3">
        <v>7.0</v>
      </c>
      <c r="Z62" s="3">
        <v>12.0</v>
      </c>
    </row>
    <row r="63">
      <c r="A63" s="3">
        <v>2.0</v>
      </c>
      <c r="B63" s="1" t="s">
        <v>26</v>
      </c>
      <c r="C63" s="1">
        <v>10.0</v>
      </c>
      <c r="D63" s="3" t="s">
        <v>34</v>
      </c>
      <c r="E63" s="1" t="s">
        <v>26</v>
      </c>
      <c r="F63" s="1">
        <v>10.0</v>
      </c>
      <c r="G63" s="3" t="s">
        <v>34</v>
      </c>
      <c r="H63" s="2" t="s">
        <v>36</v>
      </c>
      <c r="I63" s="2" t="s">
        <v>37</v>
      </c>
      <c r="J63" s="1" t="s">
        <v>38</v>
      </c>
      <c r="K63" s="1" t="s">
        <v>69</v>
      </c>
      <c r="L63" s="1">
        <v>6.0</v>
      </c>
      <c r="M63" s="1">
        <v>-21.0</v>
      </c>
      <c r="N63" s="1">
        <v>-17.0</v>
      </c>
      <c r="O63" s="1">
        <v>4.0</v>
      </c>
      <c r="P63" s="1" t="s">
        <v>70</v>
      </c>
      <c r="Q63" s="1">
        <v>2.0</v>
      </c>
      <c r="R63" s="4">
        <v>3.162146</v>
      </c>
      <c r="S63" s="4">
        <v>2.576926</v>
      </c>
      <c r="T63" s="4">
        <v>-0.58522</v>
      </c>
      <c r="U63" s="1">
        <v>2.0</v>
      </c>
      <c r="V63" s="1" t="s">
        <v>28</v>
      </c>
      <c r="W63" s="1" t="s">
        <v>86</v>
      </c>
      <c r="X63" s="1" t="s">
        <v>156</v>
      </c>
      <c r="Y63" s="3">
        <v>7.0</v>
      </c>
      <c r="Z63" s="3">
        <v>12.0</v>
      </c>
    </row>
    <row r="64">
      <c r="A64" s="3">
        <v>2.0</v>
      </c>
      <c r="B64" s="1" t="s">
        <v>26</v>
      </c>
      <c r="C64" s="1">
        <v>10.0</v>
      </c>
      <c r="D64" s="3" t="s">
        <v>34</v>
      </c>
      <c r="E64" s="1" t="s">
        <v>26</v>
      </c>
      <c r="F64" s="1">
        <v>10.0</v>
      </c>
      <c r="G64" s="3" t="s">
        <v>34</v>
      </c>
      <c r="H64" s="2" t="s">
        <v>36</v>
      </c>
      <c r="I64" s="2" t="s">
        <v>37</v>
      </c>
      <c r="J64" s="1" t="s">
        <v>38</v>
      </c>
      <c r="K64" s="1" t="s">
        <v>74</v>
      </c>
      <c r="L64" s="1">
        <v>2.0</v>
      </c>
      <c r="M64" s="1">
        <v>-17.0</v>
      </c>
      <c r="N64" s="1">
        <v>-12.0</v>
      </c>
      <c r="O64" s="1">
        <v>5.0</v>
      </c>
      <c r="P64" s="1" t="s">
        <v>48</v>
      </c>
      <c r="Q64" s="1">
        <v>10.0</v>
      </c>
      <c r="R64" s="4">
        <v>2.576926</v>
      </c>
      <c r="S64" s="4">
        <v>4.38361</v>
      </c>
      <c r="T64" s="4">
        <v>1.806684</v>
      </c>
      <c r="U64" s="1">
        <v>29.0</v>
      </c>
      <c r="V64" s="1" t="s">
        <v>28</v>
      </c>
      <c r="W64" s="1" t="s">
        <v>80</v>
      </c>
      <c r="X64" s="1" t="s">
        <v>160</v>
      </c>
      <c r="Y64" s="3">
        <v>7.0</v>
      </c>
      <c r="Z64" s="3">
        <v>12.0</v>
      </c>
    </row>
    <row r="65">
      <c r="A65" s="3">
        <v>2.0</v>
      </c>
      <c r="B65" s="1" t="s">
        <v>26</v>
      </c>
      <c r="C65" s="1" t="s">
        <v>27</v>
      </c>
      <c r="D65" s="1" t="s">
        <v>27</v>
      </c>
      <c r="E65" s="1" t="s">
        <v>28</v>
      </c>
      <c r="F65" s="1" t="s">
        <v>27</v>
      </c>
      <c r="G65" s="1" t="s">
        <v>27</v>
      </c>
      <c r="H65" s="2" t="s">
        <v>36</v>
      </c>
      <c r="I65" s="2"/>
      <c r="J65" s="1" t="s">
        <v>161</v>
      </c>
      <c r="K65" s="1" t="s">
        <v>39</v>
      </c>
      <c r="L65" s="3">
        <v>10.0</v>
      </c>
      <c r="M65" s="1">
        <v>-12.0</v>
      </c>
      <c r="N65" s="1">
        <v>-6.0</v>
      </c>
      <c r="O65" s="1">
        <v>6.0</v>
      </c>
      <c r="P65" s="1" t="s">
        <v>48</v>
      </c>
      <c r="Q65" s="1"/>
      <c r="R65" s="4">
        <v>4.38361</v>
      </c>
      <c r="S65" s="4">
        <v>5.334811449</v>
      </c>
      <c r="T65" s="4">
        <v>0.951201449</v>
      </c>
      <c r="U65" s="1" t="s">
        <v>27</v>
      </c>
      <c r="V65" s="1" t="s">
        <v>27</v>
      </c>
      <c r="W65" s="1" t="s">
        <v>27</v>
      </c>
      <c r="X65" s="1" t="s">
        <v>162</v>
      </c>
      <c r="Y65" s="3">
        <v>7.0</v>
      </c>
      <c r="Z65" s="3">
        <v>12.0</v>
      </c>
    </row>
    <row r="66">
      <c r="A66" s="3">
        <v>2.0</v>
      </c>
      <c r="B66" s="1" t="s">
        <v>26</v>
      </c>
      <c r="C66" s="1" t="s">
        <v>27</v>
      </c>
      <c r="D66" s="1" t="s">
        <v>27</v>
      </c>
      <c r="E66" s="1" t="s">
        <v>26</v>
      </c>
      <c r="F66" s="1" t="s">
        <v>27</v>
      </c>
      <c r="G66" s="1" t="s">
        <v>27</v>
      </c>
      <c r="H66" s="2" t="s">
        <v>36</v>
      </c>
      <c r="I66" s="2"/>
      <c r="J66" s="1" t="s">
        <v>106</v>
      </c>
      <c r="K66" s="1" t="s">
        <v>27</v>
      </c>
      <c r="L66" s="1"/>
      <c r="M66" s="1">
        <v>-6.0</v>
      </c>
      <c r="N66" s="1">
        <v>-21.0</v>
      </c>
      <c r="O66" s="1">
        <v>-15.0</v>
      </c>
      <c r="P66" s="1" t="s">
        <v>48</v>
      </c>
      <c r="Q66" s="1">
        <v>10.0</v>
      </c>
      <c r="R66" s="4">
        <v>5.334811449</v>
      </c>
      <c r="S66" s="4">
        <v>4.085037</v>
      </c>
      <c r="T66" s="4">
        <v>-1.2497744490000002</v>
      </c>
      <c r="U66" s="1" t="s">
        <v>27</v>
      </c>
      <c r="V66" s="1" t="s">
        <v>27</v>
      </c>
      <c r="W66" s="1" t="s">
        <v>27</v>
      </c>
      <c r="X66" s="1" t="s">
        <v>163</v>
      </c>
      <c r="Y66" s="3">
        <v>7.0</v>
      </c>
      <c r="Z66" s="3">
        <v>12.0</v>
      </c>
    </row>
    <row r="67">
      <c r="A67" s="3">
        <v>2.0</v>
      </c>
      <c r="B67" s="1" t="s">
        <v>26</v>
      </c>
      <c r="C67" s="1">
        <v>10.0</v>
      </c>
      <c r="D67" s="3" t="s">
        <v>34</v>
      </c>
      <c r="E67" s="1" t="s">
        <v>26</v>
      </c>
      <c r="F67" s="1">
        <v>31.0</v>
      </c>
      <c r="G67" s="3" t="s">
        <v>35</v>
      </c>
      <c r="H67" s="2" t="s">
        <v>36</v>
      </c>
      <c r="I67" s="2" t="s">
        <v>53</v>
      </c>
      <c r="J67" s="1" t="s">
        <v>53</v>
      </c>
      <c r="K67" s="1" t="s">
        <v>39</v>
      </c>
      <c r="L67" s="3">
        <v>10.0</v>
      </c>
      <c r="M67" s="1">
        <v>-21.0</v>
      </c>
      <c r="N67" s="1">
        <v>-5.0</v>
      </c>
      <c r="O67" s="1">
        <v>16.0</v>
      </c>
      <c r="P67" s="1" t="s">
        <v>48</v>
      </c>
      <c r="Q67" s="1">
        <v>5.0</v>
      </c>
      <c r="R67" s="4">
        <v>4.085037</v>
      </c>
      <c r="S67" s="4">
        <v>5.436957</v>
      </c>
      <c r="T67" s="4">
        <v>1.35192</v>
      </c>
      <c r="U67" s="1" t="s">
        <v>27</v>
      </c>
      <c r="V67" s="1" t="s">
        <v>27</v>
      </c>
      <c r="W67" s="1" t="s">
        <v>27</v>
      </c>
      <c r="X67" s="1" t="s">
        <v>164</v>
      </c>
      <c r="Y67" s="3">
        <v>7.0</v>
      </c>
      <c r="Z67" s="3">
        <v>12.0</v>
      </c>
    </row>
    <row r="68">
      <c r="A68" s="3">
        <v>2.0</v>
      </c>
      <c r="B68" s="1" t="s">
        <v>26</v>
      </c>
      <c r="C68" s="1">
        <v>10.0</v>
      </c>
      <c r="D68" s="3" t="s">
        <v>34</v>
      </c>
      <c r="E68" s="1" t="s">
        <v>26</v>
      </c>
      <c r="F68" s="1">
        <v>21.0</v>
      </c>
      <c r="G68" s="1" t="s">
        <v>77</v>
      </c>
      <c r="H68" s="2" t="s">
        <v>36</v>
      </c>
      <c r="I68" s="2" t="s">
        <v>37</v>
      </c>
      <c r="J68" s="1" t="s">
        <v>38</v>
      </c>
      <c r="K68" s="1" t="s">
        <v>39</v>
      </c>
      <c r="L68" s="3">
        <v>5.0</v>
      </c>
      <c r="M68" s="1">
        <v>-5.0</v>
      </c>
      <c r="N68" s="1">
        <v>0.0</v>
      </c>
      <c r="O68" s="1">
        <v>5.0</v>
      </c>
      <c r="P68" s="1" t="s">
        <v>40</v>
      </c>
      <c r="Q68" s="1"/>
      <c r="R68" s="4">
        <v>5.436957</v>
      </c>
      <c r="S68" s="4">
        <v>7.0</v>
      </c>
      <c r="T68" s="4">
        <v>1.563043</v>
      </c>
      <c r="U68" s="1" t="s">
        <v>27</v>
      </c>
      <c r="V68" s="1" t="s">
        <v>27</v>
      </c>
      <c r="W68" s="1" t="s">
        <v>27</v>
      </c>
      <c r="X68" s="1" t="s">
        <v>165</v>
      </c>
      <c r="Y68" s="3">
        <v>7.0</v>
      </c>
      <c r="Z68" s="3">
        <v>18.0</v>
      </c>
    </row>
    <row r="69">
      <c r="A69" s="3">
        <v>2.0</v>
      </c>
      <c r="B69" s="1" t="s">
        <v>26</v>
      </c>
      <c r="C69" s="1" t="s">
        <v>27</v>
      </c>
      <c r="D69" s="1" t="s">
        <v>27</v>
      </c>
      <c r="E69" s="1" t="s">
        <v>26</v>
      </c>
      <c r="F69" s="1">
        <v>42.0</v>
      </c>
      <c r="G69" s="1" t="s">
        <v>42</v>
      </c>
      <c r="H69" s="2" t="s">
        <v>30</v>
      </c>
      <c r="I69" s="2"/>
      <c r="J69" s="1" t="s">
        <v>43</v>
      </c>
      <c r="K69" s="1" t="s">
        <v>27</v>
      </c>
      <c r="L69" s="1"/>
      <c r="M69" s="1">
        <v>-10.0</v>
      </c>
      <c r="N69" s="1">
        <v>0.0</v>
      </c>
      <c r="O69" s="1">
        <v>20.0</v>
      </c>
      <c r="P69" s="1" t="s">
        <v>146</v>
      </c>
      <c r="Q69" s="1"/>
      <c r="R69" s="5"/>
      <c r="S69" s="5"/>
      <c r="T69" s="4">
        <v>0.0</v>
      </c>
      <c r="U69" s="1" t="s">
        <v>27</v>
      </c>
      <c r="V69" s="1" t="s">
        <v>27</v>
      </c>
      <c r="W69" s="1" t="s">
        <v>27</v>
      </c>
      <c r="X69" s="1" t="s">
        <v>166</v>
      </c>
      <c r="Y69" s="3">
        <v>7.0</v>
      </c>
      <c r="Z69" s="3">
        <v>19.0</v>
      </c>
    </row>
    <row r="70">
      <c r="A70" s="3">
        <v>2.0</v>
      </c>
      <c r="B70" s="2" t="s">
        <v>28</v>
      </c>
      <c r="C70" s="1" t="s">
        <v>27</v>
      </c>
      <c r="D70" s="1" t="s">
        <v>27</v>
      </c>
      <c r="E70" s="1" t="s">
        <v>26</v>
      </c>
      <c r="F70" s="1">
        <v>42.0</v>
      </c>
      <c r="G70" s="1" t="s">
        <v>42</v>
      </c>
      <c r="H70" s="2" t="s">
        <v>30</v>
      </c>
      <c r="I70" s="2"/>
      <c r="J70" s="1" t="s">
        <v>31</v>
      </c>
      <c r="K70" s="1" t="s">
        <v>27</v>
      </c>
      <c r="L70" s="1"/>
      <c r="M70" s="1">
        <v>35.0</v>
      </c>
      <c r="N70" s="1">
        <v>-12.0</v>
      </c>
      <c r="O70" s="1">
        <v>53.0</v>
      </c>
      <c r="P70" s="1" t="s">
        <v>167</v>
      </c>
      <c r="Q70" s="1"/>
      <c r="R70" s="4">
        <v>0.0</v>
      </c>
      <c r="S70" s="4">
        <v>0.156353</v>
      </c>
      <c r="T70" s="4">
        <v>0.156353</v>
      </c>
      <c r="U70" s="1" t="s">
        <v>27</v>
      </c>
      <c r="V70" s="1" t="s">
        <v>27</v>
      </c>
      <c r="W70" s="1" t="s">
        <v>27</v>
      </c>
      <c r="X70" s="1" t="s">
        <v>168</v>
      </c>
      <c r="Y70" s="3">
        <v>7.0</v>
      </c>
      <c r="Z70" s="3">
        <v>19.0</v>
      </c>
    </row>
    <row r="71">
      <c r="A71" s="3">
        <v>2.0</v>
      </c>
      <c r="B71" s="1" t="s">
        <v>28</v>
      </c>
      <c r="C71" s="1" t="s">
        <v>27</v>
      </c>
      <c r="D71" s="1" t="s">
        <v>27</v>
      </c>
      <c r="E71" s="1" t="s">
        <v>28</v>
      </c>
      <c r="F71" s="1" t="s">
        <v>27</v>
      </c>
      <c r="G71" s="1" t="s">
        <v>27</v>
      </c>
      <c r="H71" s="2" t="s">
        <v>36</v>
      </c>
      <c r="I71" s="2"/>
      <c r="J71" s="1" t="s">
        <v>106</v>
      </c>
      <c r="K71" s="1" t="s">
        <v>27</v>
      </c>
      <c r="L71" s="1"/>
      <c r="M71" s="1">
        <v>24.0</v>
      </c>
      <c r="N71" s="1">
        <v>14.0</v>
      </c>
      <c r="O71" s="1">
        <v>-10.0</v>
      </c>
      <c r="P71" s="1" t="s">
        <v>48</v>
      </c>
      <c r="Q71" s="1">
        <v>10.0</v>
      </c>
      <c r="R71" s="4"/>
      <c r="U71" s="1" t="s">
        <v>27</v>
      </c>
      <c r="V71" s="1" t="s">
        <v>27</v>
      </c>
      <c r="W71" s="1" t="s">
        <v>27</v>
      </c>
      <c r="X71" s="1" t="s">
        <v>121</v>
      </c>
      <c r="Y71" s="3">
        <v>7.0</v>
      </c>
      <c r="Z71" s="3">
        <v>19.0</v>
      </c>
    </row>
    <row r="72">
      <c r="A72" s="3">
        <v>2.0</v>
      </c>
      <c r="B72" s="1" t="s">
        <v>28</v>
      </c>
      <c r="C72" s="1">
        <v>15.0</v>
      </c>
      <c r="D72" s="3" t="s">
        <v>51</v>
      </c>
      <c r="E72" s="1" t="s">
        <v>28</v>
      </c>
      <c r="F72" s="1">
        <v>23.0</v>
      </c>
      <c r="G72" s="3" t="s">
        <v>61</v>
      </c>
      <c r="H72" s="2" t="s">
        <v>36</v>
      </c>
      <c r="I72" s="2" t="s">
        <v>37</v>
      </c>
      <c r="J72" s="1" t="s">
        <v>38</v>
      </c>
      <c r="K72" s="1" t="s">
        <v>39</v>
      </c>
      <c r="L72" s="3">
        <v>10.0</v>
      </c>
      <c r="M72" s="3">
        <v>16.0</v>
      </c>
      <c r="N72" s="1">
        <v>21.0</v>
      </c>
      <c r="O72" s="3">
        <v>5.0</v>
      </c>
      <c r="P72" s="1" t="s">
        <v>54</v>
      </c>
      <c r="Q72" s="1">
        <v>5.0</v>
      </c>
      <c r="R72" s="4">
        <v>0.156353</v>
      </c>
      <c r="S72" s="4">
        <v>0.237167</v>
      </c>
      <c r="T72" s="4">
        <v>0.080814</v>
      </c>
      <c r="U72" s="1" t="s">
        <v>27</v>
      </c>
      <c r="V72" s="1" t="s">
        <v>27</v>
      </c>
      <c r="W72" s="1" t="s">
        <v>27</v>
      </c>
      <c r="X72" s="1" t="s">
        <v>169</v>
      </c>
      <c r="Y72" s="3">
        <v>7.0</v>
      </c>
      <c r="Z72" s="3">
        <v>19.0</v>
      </c>
    </row>
    <row r="73">
      <c r="A73" s="3">
        <v>2.0</v>
      </c>
      <c r="B73" s="1" t="s">
        <v>28</v>
      </c>
      <c r="C73" s="1">
        <v>15.0</v>
      </c>
      <c r="D73" s="3" t="s">
        <v>51</v>
      </c>
      <c r="E73" s="1" t="s">
        <v>28</v>
      </c>
      <c r="F73" s="1">
        <v>15.0</v>
      </c>
      <c r="G73" s="3" t="s">
        <v>51</v>
      </c>
      <c r="H73" s="2" t="s">
        <v>36</v>
      </c>
      <c r="I73" s="2" t="s">
        <v>37</v>
      </c>
      <c r="J73" s="1" t="s">
        <v>38</v>
      </c>
      <c r="K73" s="1" t="s">
        <v>58</v>
      </c>
      <c r="L73" s="1">
        <v>5.0</v>
      </c>
      <c r="M73" s="1">
        <v>21.0</v>
      </c>
      <c r="N73" s="1">
        <v>23.0</v>
      </c>
      <c r="O73" s="1">
        <v>2.0</v>
      </c>
      <c r="P73" s="1" t="s">
        <v>64</v>
      </c>
      <c r="Q73" s="1">
        <v>3.0</v>
      </c>
      <c r="R73" s="4">
        <v>0.237167</v>
      </c>
      <c r="S73" s="4">
        <v>-0.09611</v>
      </c>
      <c r="T73" s="4">
        <v>-0.33327</v>
      </c>
      <c r="U73" s="1">
        <v>2.0</v>
      </c>
      <c r="V73" s="1" t="s">
        <v>26</v>
      </c>
      <c r="W73" s="1" t="s">
        <v>62</v>
      </c>
      <c r="X73" s="1" t="s">
        <v>170</v>
      </c>
      <c r="Y73" s="3">
        <v>7.0</v>
      </c>
      <c r="Z73" s="3">
        <v>19.0</v>
      </c>
    </row>
    <row r="74">
      <c r="A74" s="3">
        <v>2.0</v>
      </c>
      <c r="B74" s="1" t="s">
        <v>28</v>
      </c>
      <c r="C74" s="1">
        <v>15.0</v>
      </c>
      <c r="D74" s="3" t="s">
        <v>51</v>
      </c>
      <c r="E74" s="1" t="s">
        <v>28</v>
      </c>
      <c r="F74" s="1">
        <v>83.0</v>
      </c>
      <c r="G74" s="1" t="s">
        <v>171</v>
      </c>
      <c r="H74" s="2" t="s">
        <v>36</v>
      </c>
      <c r="I74" s="2" t="s">
        <v>53</v>
      </c>
      <c r="J74" s="1" t="s">
        <v>53</v>
      </c>
      <c r="K74" s="1" t="s">
        <v>69</v>
      </c>
      <c r="L74" s="1">
        <v>3.0</v>
      </c>
      <c r="M74" s="1">
        <v>23.0</v>
      </c>
      <c r="N74" s="1">
        <v>39.0</v>
      </c>
      <c r="O74" s="1">
        <v>16.0</v>
      </c>
      <c r="P74" s="1" t="s">
        <v>48</v>
      </c>
      <c r="Q74" s="1">
        <v>10.0</v>
      </c>
      <c r="R74" s="4">
        <v>-0.09611</v>
      </c>
      <c r="S74" s="4">
        <v>1.990539</v>
      </c>
      <c r="T74" s="4">
        <v>2.086645</v>
      </c>
      <c r="U74" s="1">
        <v>19.0</v>
      </c>
      <c r="V74" s="1" t="s">
        <v>26</v>
      </c>
      <c r="W74" s="1" t="s">
        <v>172</v>
      </c>
      <c r="X74" s="2" t="s">
        <v>173</v>
      </c>
      <c r="Y74" s="3">
        <v>7.0</v>
      </c>
      <c r="Z74" s="3">
        <v>19.0</v>
      </c>
    </row>
    <row r="75">
      <c r="A75" s="3">
        <v>2.0</v>
      </c>
      <c r="B75" s="1" t="s">
        <v>28</v>
      </c>
      <c r="C75" s="1">
        <v>15.0</v>
      </c>
      <c r="D75" s="3" t="s">
        <v>51</v>
      </c>
      <c r="E75" s="1" t="s">
        <v>28</v>
      </c>
      <c r="F75" s="1">
        <v>4.0</v>
      </c>
      <c r="G75" s="3" t="s">
        <v>52</v>
      </c>
      <c r="H75" s="2" t="s">
        <v>36</v>
      </c>
      <c r="I75" s="2" t="s">
        <v>53</v>
      </c>
      <c r="J75" s="1" t="s">
        <v>117</v>
      </c>
      <c r="K75" s="1" t="s">
        <v>39</v>
      </c>
      <c r="L75" s="3">
        <v>10.0</v>
      </c>
      <c r="M75" s="1">
        <v>39.0</v>
      </c>
      <c r="N75" s="1">
        <v>39.0</v>
      </c>
      <c r="O75" s="1">
        <v>0.0</v>
      </c>
      <c r="P75" s="1" t="s">
        <v>54</v>
      </c>
      <c r="Q75" s="1">
        <v>10.0</v>
      </c>
      <c r="R75" s="4">
        <v>1.990539</v>
      </c>
      <c r="S75" s="4">
        <v>1.399924</v>
      </c>
      <c r="T75" s="4">
        <v>-0.59062</v>
      </c>
      <c r="U75" s="1" t="s">
        <v>27</v>
      </c>
      <c r="V75" s="1" t="s">
        <v>27</v>
      </c>
      <c r="W75" s="1" t="s">
        <v>27</v>
      </c>
      <c r="X75" s="1" t="s">
        <v>127</v>
      </c>
      <c r="Y75" s="3">
        <v>7.0</v>
      </c>
      <c r="Z75" s="3">
        <v>19.0</v>
      </c>
    </row>
    <row r="76">
      <c r="A76" s="3">
        <v>2.0</v>
      </c>
      <c r="B76" s="1" t="s">
        <v>28</v>
      </c>
      <c r="C76" s="1">
        <v>15.0</v>
      </c>
      <c r="D76" s="3" t="s">
        <v>51</v>
      </c>
      <c r="E76" s="1" t="s">
        <v>28</v>
      </c>
      <c r="F76" s="1">
        <v>4.0</v>
      </c>
      <c r="G76" s="3" t="s">
        <v>52</v>
      </c>
      <c r="H76" s="2" t="s">
        <v>36</v>
      </c>
      <c r="I76" s="2" t="s">
        <v>53</v>
      </c>
      <c r="J76" s="1" t="s">
        <v>53</v>
      </c>
      <c r="K76" s="1" t="s">
        <v>58</v>
      </c>
      <c r="L76" s="1">
        <v>10.0</v>
      </c>
      <c r="M76" s="1">
        <v>39.0</v>
      </c>
      <c r="N76" s="1">
        <v>-36.0</v>
      </c>
      <c r="O76" s="1">
        <v>25.0</v>
      </c>
      <c r="P76" s="1" t="s">
        <v>48</v>
      </c>
      <c r="Q76" s="1">
        <v>10.0</v>
      </c>
      <c r="R76" s="4">
        <v>1.399924</v>
      </c>
      <c r="S76" s="4">
        <v>3.450473</v>
      </c>
      <c r="T76" s="4">
        <v>2.050549</v>
      </c>
      <c r="U76" s="1">
        <v>22.0</v>
      </c>
      <c r="V76" s="1" t="s">
        <v>26</v>
      </c>
      <c r="W76" s="1" t="s">
        <v>174</v>
      </c>
      <c r="X76" s="1" t="s">
        <v>175</v>
      </c>
      <c r="Y76" s="3">
        <v>7.0</v>
      </c>
      <c r="Z76" s="3">
        <v>19.0</v>
      </c>
    </row>
    <row r="77">
      <c r="A77" s="3">
        <v>2.0</v>
      </c>
      <c r="B77" s="1" t="s">
        <v>28</v>
      </c>
      <c r="C77" s="1">
        <v>15.0</v>
      </c>
      <c r="D77" s="3" t="s">
        <v>51</v>
      </c>
      <c r="E77" s="1" t="s">
        <v>28</v>
      </c>
      <c r="F77" s="1">
        <v>28.0</v>
      </c>
      <c r="G77" s="3" t="s">
        <v>176</v>
      </c>
      <c r="H77" s="2" t="s">
        <v>30</v>
      </c>
      <c r="I77" s="2"/>
      <c r="J77" s="1" t="s">
        <v>94</v>
      </c>
      <c r="K77" s="3" t="s">
        <v>39</v>
      </c>
      <c r="L77" s="3">
        <v>10.0</v>
      </c>
      <c r="M77" s="3">
        <v>-36.0</v>
      </c>
      <c r="N77" s="1">
        <v>0.0</v>
      </c>
      <c r="O77" s="1">
        <v>53.0</v>
      </c>
      <c r="P77" s="1" t="s">
        <v>95</v>
      </c>
      <c r="Q77" s="1"/>
      <c r="R77" s="4">
        <v>3.450473</v>
      </c>
      <c r="S77" s="4">
        <v>3.0</v>
      </c>
      <c r="T77" s="4">
        <v>-0.4504730000000001</v>
      </c>
      <c r="U77" s="1" t="s">
        <v>27</v>
      </c>
      <c r="V77" s="1" t="s">
        <v>27</v>
      </c>
      <c r="W77" s="1" t="s">
        <v>27</v>
      </c>
      <c r="X77" s="1" t="s">
        <v>177</v>
      </c>
      <c r="Y77" s="3">
        <v>10.0</v>
      </c>
      <c r="Z77" s="3">
        <v>19.0</v>
      </c>
    </row>
    <row r="78">
      <c r="A78" s="3">
        <v>3.0</v>
      </c>
      <c r="B78" s="1" t="s">
        <v>28</v>
      </c>
      <c r="C78" s="1" t="s">
        <v>27</v>
      </c>
      <c r="D78" s="1" t="s">
        <v>27</v>
      </c>
      <c r="E78" s="1" t="s">
        <v>28</v>
      </c>
      <c r="F78" s="1">
        <v>23.0</v>
      </c>
      <c r="G78" s="3" t="s">
        <v>61</v>
      </c>
      <c r="H78" s="2" t="s">
        <v>30</v>
      </c>
      <c r="I78" s="2"/>
      <c r="J78" s="1" t="s">
        <v>47</v>
      </c>
      <c r="K78" s="1" t="s">
        <v>27</v>
      </c>
      <c r="L78" s="1"/>
      <c r="M78" s="1">
        <v>6.0</v>
      </c>
      <c r="N78" s="1">
        <v>19.0</v>
      </c>
      <c r="O78" s="1">
        <v>13.0</v>
      </c>
      <c r="P78" s="1" t="s">
        <v>48</v>
      </c>
      <c r="Q78" s="1">
        <v>10.0</v>
      </c>
      <c r="R78" s="6">
        <v>0.0</v>
      </c>
      <c r="S78" s="6">
        <v>0.4</v>
      </c>
      <c r="T78" s="6">
        <v>0.4</v>
      </c>
      <c r="U78" s="1">
        <v>5.0</v>
      </c>
      <c r="V78" s="1" t="s">
        <v>26</v>
      </c>
      <c r="W78" s="1" t="s">
        <v>178</v>
      </c>
      <c r="X78" s="1" t="s">
        <v>179</v>
      </c>
      <c r="Y78" s="3">
        <v>10.0</v>
      </c>
      <c r="Z78" s="3">
        <v>19.0</v>
      </c>
    </row>
    <row r="79">
      <c r="A79" s="3">
        <v>3.0</v>
      </c>
      <c r="B79" s="1" t="s">
        <v>28</v>
      </c>
      <c r="C79" s="1">
        <v>15.0</v>
      </c>
      <c r="D79" s="3" t="s">
        <v>51</v>
      </c>
      <c r="E79" s="1" t="s">
        <v>28</v>
      </c>
      <c r="F79" s="1">
        <v>4.0</v>
      </c>
      <c r="G79" s="3" t="s">
        <v>52</v>
      </c>
      <c r="H79" s="2" t="s">
        <v>36</v>
      </c>
      <c r="I79" s="2" t="s">
        <v>53</v>
      </c>
      <c r="J79" s="1" t="s">
        <v>53</v>
      </c>
      <c r="K79" s="1" t="s">
        <v>39</v>
      </c>
      <c r="L79" s="3">
        <v>10.0</v>
      </c>
      <c r="M79" s="1">
        <v>19.0</v>
      </c>
      <c r="N79" s="1">
        <v>30.0</v>
      </c>
      <c r="O79" s="1">
        <v>11.0</v>
      </c>
      <c r="P79" s="1" t="s">
        <v>48</v>
      </c>
      <c r="Q79" s="1">
        <v>10.0</v>
      </c>
      <c r="R79" s="4">
        <v>0.402766</v>
      </c>
      <c r="S79" s="4">
        <v>1.297875</v>
      </c>
      <c r="T79" s="4">
        <v>0.895109</v>
      </c>
      <c r="U79" s="1">
        <v>0.0</v>
      </c>
      <c r="V79" s="1" t="s">
        <v>26</v>
      </c>
      <c r="W79" s="1" t="s">
        <v>103</v>
      </c>
      <c r="X79" s="1" t="s">
        <v>180</v>
      </c>
      <c r="Y79" s="3">
        <v>10.0</v>
      </c>
      <c r="Z79" s="3">
        <v>19.0</v>
      </c>
    </row>
    <row r="80">
      <c r="A80" s="3">
        <v>3.0</v>
      </c>
      <c r="B80" s="1" t="s">
        <v>28</v>
      </c>
      <c r="C80" s="1">
        <v>15.0</v>
      </c>
      <c r="D80" s="3" t="s">
        <v>51</v>
      </c>
      <c r="E80" s="1" t="s">
        <v>28</v>
      </c>
      <c r="F80" s="1">
        <v>23.0</v>
      </c>
      <c r="G80" s="3" t="s">
        <v>61</v>
      </c>
      <c r="H80" s="2" t="s">
        <v>36</v>
      </c>
      <c r="I80" s="2" t="s">
        <v>37</v>
      </c>
      <c r="J80" s="1" t="s">
        <v>38</v>
      </c>
      <c r="K80" s="1" t="s">
        <v>39</v>
      </c>
      <c r="L80" s="3">
        <v>10.0</v>
      </c>
      <c r="M80" s="1">
        <v>30.0</v>
      </c>
      <c r="N80" s="1">
        <v>34.0</v>
      </c>
      <c r="O80" s="1">
        <v>4.0</v>
      </c>
      <c r="P80" s="1" t="s">
        <v>54</v>
      </c>
      <c r="Q80" s="1">
        <v>6.0</v>
      </c>
      <c r="R80" s="4">
        <v>1.297875</v>
      </c>
      <c r="S80" s="4">
        <v>1.252392</v>
      </c>
      <c r="T80" s="4">
        <v>-0.04548</v>
      </c>
      <c r="U80" s="1">
        <v>2.0</v>
      </c>
      <c r="V80" s="1" t="s">
        <v>26</v>
      </c>
      <c r="W80" s="1" t="s">
        <v>62</v>
      </c>
      <c r="X80" s="1" t="s">
        <v>181</v>
      </c>
      <c r="Y80" s="3">
        <v>10.0</v>
      </c>
      <c r="Z80" s="3">
        <v>19.0</v>
      </c>
    </row>
    <row r="81">
      <c r="A81" s="3">
        <v>3.0</v>
      </c>
      <c r="B81" s="1" t="s">
        <v>28</v>
      </c>
      <c r="C81" s="1">
        <v>15.0</v>
      </c>
      <c r="D81" s="3" t="s">
        <v>51</v>
      </c>
      <c r="E81" s="1" t="s">
        <v>28</v>
      </c>
      <c r="F81" s="1">
        <v>81.0</v>
      </c>
      <c r="G81" s="3" t="s">
        <v>46</v>
      </c>
      <c r="H81" s="2" t="s">
        <v>36</v>
      </c>
      <c r="I81" s="2" t="s">
        <v>53</v>
      </c>
      <c r="J81" s="1" t="s">
        <v>117</v>
      </c>
      <c r="K81" s="1" t="s">
        <v>58</v>
      </c>
      <c r="L81" s="1">
        <v>6.0</v>
      </c>
      <c r="M81" s="1">
        <v>34.0</v>
      </c>
      <c r="N81" s="1">
        <v>34.0</v>
      </c>
      <c r="O81" s="1">
        <v>0.0</v>
      </c>
      <c r="P81" s="1" t="s">
        <v>64</v>
      </c>
      <c r="Q81" s="1">
        <v>6.0</v>
      </c>
      <c r="R81" s="4">
        <v>1.252392</v>
      </c>
      <c r="S81" s="4">
        <v>0.437221</v>
      </c>
      <c r="T81" s="4">
        <v>-0.81517</v>
      </c>
      <c r="U81" s="1" t="s">
        <v>27</v>
      </c>
      <c r="V81" s="1" t="s">
        <v>27</v>
      </c>
      <c r="W81" s="1" t="s">
        <v>27</v>
      </c>
      <c r="X81" s="1" t="s">
        <v>182</v>
      </c>
      <c r="Y81" s="3">
        <v>10.0</v>
      </c>
      <c r="Z81" s="3">
        <v>19.0</v>
      </c>
    </row>
    <row r="82">
      <c r="A82" s="3">
        <v>3.0</v>
      </c>
      <c r="B82" s="1" t="s">
        <v>28</v>
      </c>
      <c r="C82" s="1">
        <v>15.0</v>
      </c>
      <c r="D82" s="3" t="s">
        <v>51</v>
      </c>
      <c r="E82" s="1" t="s">
        <v>28</v>
      </c>
      <c r="F82" s="1">
        <v>17.0</v>
      </c>
      <c r="G82" s="1" t="s">
        <v>144</v>
      </c>
      <c r="H82" s="2" t="s">
        <v>36</v>
      </c>
      <c r="I82" s="2" t="s">
        <v>53</v>
      </c>
      <c r="J82" s="1" t="s">
        <v>53</v>
      </c>
      <c r="K82" s="1" t="s">
        <v>69</v>
      </c>
      <c r="L82" s="1">
        <v>6.0</v>
      </c>
      <c r="M82" s="1">
        <v>34.0</v>
      </c>
      <c r="N82" s="1">
        <v>0.0</v>
      </c>
      <c r="O82" s="1">
        <v>66.0</v>
      </c>
      <c r="P82" s="1" t="s">
        <v>40</v>
      </c>
      <c r="Q82" s="1"/>
      <c r="R82" s="4">
        <v>0.437221</v>
      </c>
      <c r="S82" s="4">
        <v>7.0</v>
      </c>
      <c r="T82" s="4">
        <v>6.562779</v>
      </c>
      <c r="U82" s="1" t="s">
        <v>27</v>
      </c>
      <c r="V82" s="1" t="s">
        <v>27</v>
      </c>
      <c r="W82" s="1" t="s">
        <v>27</v>
      </c>
      <c r="X82" s="1" t="s">
        <v>183</v>
      </c>
      <c r="Y82" s="3">
        <v>16.0</v>
      </c>
      <c r="Z82" s="3">
        <v>19.0</v>
      </c>
    </row>
    <row r="83">
      <c r="A83" s="3">
        <v>3.0</v>
      </c>
      <c r="B83" s="1" t="s">
        <v>28</v>
      </c>
      <c r="C83" s="1">
        <v>15.0</v>
      </c>
      <c r="D83" s="3" t="s">
        <v>51</v>
      </c>
      <c r="E83" s="1" t="s">
        <v>28</v>
      </c>
      <c r="F83" s="1">
        <v>28.0</v>
      </c>
      <c r="G83" s="3" t="s">
        <v>29</v>
      </c>
      <c r="H83" s="2" t="s">
        <v>30</v>
      </c>
      <c r="I83" s="2"/>
      <c r="J83" s="1" t="s">
        <v>43</v>
      </c>
      <c r="K83" s="1" t="s">
        <v>27</v>
      </c>
      <c r="L83" s="1"/>
      <c r="M83" s="1">
        <v>-10.0</v>
      </c>
      <c r="N83" s="1">
        <v>0.0</v>
      </c>
      <c r="O83" s="1">
        <v>20.0</v>
      </c>
      <c r="P83" s="1" t="s">
        <v>146</v>
      </c>
      <c r="Q83" s="1"/>
      <c r="R83" s="5"/>
      <c r="S83" s="5"/>
      <c r="T83" s="4">
        <v>0.0</v>
      </c>
      <c r="U83" s="1" t="s">
        <v>27</v>
      </c>
      <c r="V83" s="1" t="s">
        <v>27</v>
      </c>
      <c r="W83" s="1" t="s">
        <v>27</v>
      </c>
      <c r="X83" s="1" t="s">
        <v>147</v>
      </c>
      <c r="Y83" s="3">
        <v>17.0</v>
      </c>
      <c r="Z83" s="3">
        <v>19.0</v>
      </c>
    </row>
    <row r="84">
      <c r="A84" s="3">
        <v>3.0</v>
      </c>
      <c r="B84" s="1" t="s">
        <v>28</v>
      </c>
      <c r="C84" s="1" t="s">
        <v>27</v>
      </c>
      <c r="D84" s="1" t="s">
        <v>27</v>
      </c>
      <c r="E84" s="1" t="s">
        <v>28</v>
      </c>
      <c r="F84" s="1" t="s">
        <v>27</v>
      </c>
      <c r="G84" s="1" t="s">
        <v>27</v>
      </c>
      <c r="H84" s="2" t="s">
        <v>36</v>
      </c>
      <c r="I84" s="2"/>
      <c r="J84" s="1" t="s">
        <v>106</v>
      </c>
      <c r="K84" s="1" t="s">
        <v>27</v>
      </c>
      <c r="L84" s="1"/>
      <c r="M84" s="1">
        <v>35.0</v>
      </c>
      <c r="N84" s="1">
        <v>20.0</v>
      </c>
      <c r="O84" s="1">
        <v>-15.0</v>
      </c>
      <c r="P84" s="1" t="s">
        <v>184</v>
      </c>
      <c r="Q84" s="1"/>
      <c r="R84" s="5"/>
      <c r="S84" s="5"/>
      <c r="T84" s="4">
        <v>0.0</v>
      </c>
      <c r="U84" s="1" t="s">
        <v>27</v>
      </c>
      <c r="V84" s="1" t="s">
        <v>27</v>
      </c>
      <c r="W84" s="1" t="s">
        <v>27</v>
      </c>
      <c r="X84" s="1" t="s">
        <v>163</v>
      </c>
      <c r="Y84" s="3">
        <v>17.0</v>
      </c>
      <c r="Z84" s="3">
        <v>19.0</v>
      </c>
    </row>
    <row r="85">
      <c r="A85" s="3">
        <v>3.0</v>
      </c>
      <c r="B85" s="1" t="s">
        <v>26</v>
      </c>
      <c r="C85" s="1" t="s">
        <v>27</v>
      </c>
      <c r="D85" s="1" t="s">
        <v>27</v>
      </c>
      <c r="E85" s="1" t="s">
        <v>26</v>
      </c>
      <c r="F85" s="1">
        <v>3.0</v>
      </c>
      <c r="G85" s="3" t="s">
        <v>128</v>
      </c>
      <c r="H85" s="2" t="s">
        <v>30</v>
      </c>
      <c r="I85" s="2"/>
      <c r="J85" s="1" t="s">
        <v>47</v>
      </c>
      <c r="K85" s="1" t="s">
        <v>27</v>
      </c>
      <c r="L85" s="1"/>
      <c r="M85" s="1">
        <v>16.0</v>
      </c>
      <c r="N85" s="1">
        <v>44.0</v>
      </c>
      <c r="O85" s="1">
        <v>28.0</v>
      </c>
      <c r="P85" s="1" t="s">
        <v>48</v>
      </c>
      <c r="Q85" s="1">
        <v>10.0</v>
      </c>
      <c r="R85" s="4">
        <v>0.0</v>
      </c>
      <c r="S85" s="4">
        <v>2.325935</v>
      </c>
      <c r="T85" s="4">
        <v>2.325935</v>
      </c>
      <c r="U85" s="1">
        <v>85.0</v>
      </c>
      <c r="V85" s="1" t="s">
        <v>28</v>
      </c>
      <c r="W85" s="1" t="s">
        <v>185</v>
      </c>
      <c r="X85" s="1" t="s">
        <v>186</v>
      </c>
      <c r="Y85" s="3">
        <v>17.0</v>
      </c>
      <c r="Z85" s="3">
        <v>19.0</v>
      </c>
    </row>
    <row r="86">
      <c r="A86" s="3">
        <v>3.0</v>
      </c>
      <c r="B86" s="1" t="s">
        <v>26</v>
      </c>
      <c r="C86" s="1">
        <v>10.0</v>
      </c>
      <c r="D86" s="3" t="s">
        <v>34</v>
      </c>
      <c r="E86" s="1" t="s">
        <v>26</v>
      </c>
      <c r="F86" s="1" t="s">
        <v>27</v>
      </c>
      <c r="G86" s="1" t="s">
        <v>27</v>
      </c>
      <c r="H86" s="2" t="s">
        <v>36</v>
      </c>
      <c r="I86" s="2" t="s">
        <v>53</v>
      </c>
      <c r="J86" s="1" t="s">
        <v>117</v>
      </c>
      <c r="K86" s="1" t="s">
        <v>39</v>
      </c>
      <c r="L86" s="3">
        <v>10.0</v>
      </c>
      <c r="M86" s="1">
        <v>44.0</v>
      </c>
      <c r="N86" s="1">
        <v>44.0</v>
      </c>
      <c r="O86" s="1">
        <v>0.0</v>
      </c>
      <c r="P86" s="1" t="s">
        <v>54</v>
      </c>
      <c r="Q86" s="1">
        <v>10.0</v>
      </c>
      <c r="R86" s="4">
        <v>2.325935</v>
      </c>
      <c r="S86" s="4">
        <v>1.75737</v>
      </c>
      <c r="T86" s="4">
        <v>-0.56857</v>
      </c>
      <c r="U86" s="1" t="s">
        <v>27</v>
      </c>
      <c r="V86" s="1" t="s">
        <v>27</v>
      </c>
      <c r="W86" s="1" t="s">
        <v>27</v>
      </c>
      <c r="X86" s="1" t="s">
        <v>187</v>
      </c>
      <c r="Y86" s="3">
        <v>17.0</v>
      </c>
      <c r="Z86" s="3">
        <v>19.0</v>
      </c>
    </row>
    <row r="87">
      <c r="A87" s="3">
        <v>3.0</v>
      </c>
      <c r="B87" s="1" t="s">
        <v>26</v>
      </c>
      <c r="C87" s="1">
        <v>10.0</v>
      </c>
      <c r="D87" s="3" t="s">
        <v>34</v>
      </c>
      <c r="E87" s="1" t="s">
        <v>26</v>
      </c>
      <c r="F87" s="1">
        <v>31.0</v>
      </c>
      <c r="G87" s="3" t="s">
        <v>35</v>
      </c>
      <c r="H87" s="2" t="s">
        <v>36</v>
      </c>
      <c r="I87" s="2" t="s">
        <v>37</v>
      </c>
      <c r="J87" s="1" t="s">
        <v>38</v>
      </c>
      <c r="K87" s="1" t="s">
        <v>58</v>
      </c>
      <c r="L87" s="1">
        <v>10.0</v>
      </c>
      <c r="M87" s="1">
        <v>44.0</v>
      </c>
      <c r="N87" s="1">
        <v>48.0</v>
      </c>
      <c r="O87" s="1">
        <v>4.0</v>
      </c>
      <c r="P87" s="1" t="s">
        <v>64</v>
      </c>
      <c r="Q87" s="1">
        <v>6.0</v>
      </c>
      <c r="R87" s="4">
        <v>1.75737</v>
      </c>
      <c r="S87" s="4">
        <v>1.533445</v>
      </c>
      <c r="T87" s="4">
        <v>-0.22393</v>
      </c>
      <c r="U87" s="1">
        <v>55.0</v>
      </c>
      <c r="V87" s="1" t="s">
        <v>28</v>
      </c>
      <c r="W87" s="1" t="s">
        <v>78</v>
      </c>
      <c r="X87" s="1" t="s">
        <v>188</v>
      </c>
      <c r="Y87" s="3">
        <v>17.0</v>
      </c>
      <c r="Z87" s="3">
        <v>19.0</v>
      </c>
    </row>
    <row r="88">
      <c r="A88" s="3">
        <v>3.0</v>
      </c>
      <c r="B88" s="1" t="s">
        <v>26</v>
      </c>
      <c r="C88" s="1" t="s">
        <v>27</v>
      </c>
      <c r="D88" s="1" t="s">
        <v>27</v>
      </c>
      <c r="E88" s="1" t="s">
        <v>28</v>
      </c>
      <c r="F88" s="1" t="s">
        <v>27</v>
      </c>
      <c r="G88" s="1" t="s">
        <v>27</v>
      </c>
      <c r="H88" s="2" t="s">
        <v>36</v>
      </c>
      <c r="I88" s="2"/>
      <c r="J88" s="1" t="s">
        <v>161</v>
      </c>
      <c r="K88" s="1" t="s">
        <v>69</v>
      </c>
      <c r="L88" s="1">
        <v>6.0</v>
      </c>
      <c r="M88" s="1">
        <v>48.0</v>
      </c>
      <c r="N88" s="1">
        <v>-48.0</v>
      </c>
      <c r="O88" s="1">
        <v>4.0</v>
      </c>
      <c r="P88" s="1" t="s">
        <v>48</v>
      </c>
      <c r="Q88" s="1">
        <v>10.0</v>
      </c>
      <c r="R88" s="4">
        <v>1.533445</v>
      </c>
      <c r="S88" s="4">
        <v>2.81553</v>
      </c>
      <c r="T88" s="4">
        <v>1.282085</v>
      </c>
      <c r="U88" s="1" t="s">
        <v>27</v>
      </c>
      <c r="V88" s="1" t="s">
        <v>27</v>
      </c>
      <c r="W88" s="1" t="s">
        <v>27</v>
      </c>
      <c r="X88" s="1" t="s">
        <v>189</v>
      </c>
      <c r="Y88" s="3">
        <v>17.0</v>
      </c>
      <c r="Z88" s="3">
        <v>19.0</v>
      </c>
    </row>
    <row r="89">
      <c r="A89" s="3">
        <v>3.0</v>
      </c>
      <c r="B89" s="1" t="s">
        <v>26</v>
      </c>
      <c r="C89" s="1">
        <v>10.0</v>
      </c>
      <c r="D89" s="3" t="s">
        <v>34</v>
      </c>
      <c r="E89" s="1" t="s">
        <v>26</v>
      </c>
      <c r="F89" s="1">
        <v>21.0</v>
      </c>
      <c r="G89" s="1" t="s">
        <v>77</v>
      </c>
      <c r="H89" s="2" t="s">
        <v>36</v>
      </c>
      <c r="I89" s="2" t="s">
        <v>37</v>
      </c>
      <c r="J89" s="1" t="s">
        <v>38</v>
      </c>
      <c r="K89" s="1" t="s">
        <v>39</v>
      </c>
      <c r="L89" s="3">
        <v>10.0</v>
      </c>
      <c r="M89" s="1">
        <v>-48.0</v>
      </c>
      <c r="N89" s="1">
        <v>-45.0</v>
      </c>
      <c r="O89" s="1">
        <v>3.0</v>
      </c>
      <c r="P89" s="1" t="s">
        <v>54</v>
      </c>
      <c r="Q89" s="1">
        <v>7.0</v>
      </c>
      <c r="R89" s="4">
        <v>2.81553</v>
      </c>
      <c r="S89" s="4">
        <v>2.680391</v>
      </c>
      <c r="T89" s="4">
        <v>-0.13514</v>
      </c>
      <c r="U89" s="1">
        <v>9.0</v>
      </c>
      <c r="V89" s="1" t="s">
        <v>28</v>
      </c>
      <c r="W89" s="1" t="s">
        <v>190</v>
      </c>
      <c r="X89" s="1" t="s">
        <v>191</v>
      </c>
      <c r="Y89" s="3">
        <v>17.0</v>
      </c>
      <c r="Z89" s="3">
        <v>19.0</v>
      </c>
    </row>
    <row r="90">
      <c r="A90" s="3">
        <v>3.0</v>
      </c>
      <c r="B90" s="1" t="s">
        <v>26</v>
      </c>
      <c r="C90" s="1">
        <v>10.0</v>
      </c>
      <c r="D90" s="3" t="s">
        <v>34</v>
      </c>
      <c r="E90" s="1" t="s">
        <v>26</v>
      </c>
      <c r="F90" s="1">
        <v>21.0</v>
      </c>
      <c r="G90" s="1" t="s">
        <v>77</v>
      </c>
      <c r="H90" s="2" t="s">
        <v>36</v>
      </c>
      <c r="I90" s="2" t="s">
        <v>37</v>
      </c>
      <c r="J90" s="1" t="s">
        <v>38</v>
      </c>
      <c r="K90" s="1" t="s">
        <v>58</v>
      </c>
      <c r="L90" s="1">
        <v>7.0</v>
      </c>
      <c r="M90" s="1">
        <v>-45.0</v>
      </c>
      <c r="N90" s="1">
        <v>-41.0</v>
      </c>
      <c r="O90" s="1">
        <v>4.0</v>
      </c>
      <c r="P90" s="1" t="s">
        <v>64</v>
      </c>
      <c r="Q90" s="1">
        <v>3.0</v>
      </c>
      <c r="R90" s="4">
        <v>2.680391</v>
      </c>
      <c r="S90" s="4">
        <v>2.56439</v>
      </c>
      <c r="T90" s="4">
        <v>-0.116</v>
      </c>
      <c r="U90" s="1">
        <v>2.0</v>
      </c>
      <c r="V90" s="1" t="s">
        <v>28</v>
      </c>
      <c r="W90" s="1" t="s">
        <v>86</v>
      </c>
      <c r="X90" s="1" t="s">
        <v>192</v>
      </c>
      <c r="Y90" s="3">
        <v>17.0</v>
      </c>
      <c r="Z90" s="3">
        <v>19.0</v>
      </c>
    </row>
    <row r="91">
      <c r="A91" s="3">
        <v>3.0</v>
      </c>
      <c r="B91" s="1" t="s">
        <v>26</v>
      </c>
      <c r="C91" s="1">
        <v>10.0</v>
      </c>
      <c r="D91" s="3" t="s">
        <v>34</v>
      </c>
      <c r="E91" s="1" t="s">
        <v>26</v>
      </c>
      <c r="F91" s="1">
        <v>10.0</v>
      </c>
      <c r="G91" s="3" t="s">
        <v>34</v>
      </c>
      <c r="H91" s="2" t="s">
        <v>36</v>
      </c>
      <c r="I91" s="2" t="s">
        <v>37</v>
      </c>
      <c r="J91" s="1" t="s">
        <v>38</v>
      </c>
      <c r="K91" s="1" t="s">
        <v>69</v>
      </c>
      <c r="L91" s="1">
        <v>3.0</v>
      </c>
      <c r="M91" s="1">
        <v>-41.0</v>
      </c>
      <c r="N91" s="1">
        <v>-40.0</v>
      </c>
      <c r="O91" s="1">
        <v>1.0</v>
      </c>
      <c r="P91" s="1" t="s">
        <v>70</v>
      </c>
      <c r="Q91" s="1">
        <v>2.0</v>
      </c>
      <c r="R91" s="4">
        <v>2.56439</v>
      </c>
      <c r="S91" s="4">
        <v>1.122841</v>
      </c>
      <c r="T91" s="4">
        <v>-1.44155</v>
      </c>
      <c r="U91" s="1">
        <v>55.0</v>
      </c>
      <c r="V91" s="1" t="s">
        <v>28</v>
      </c>
      <c r="W91" s="1" t="s">
        <v>78</v>
      </c>
      <c r="X91" s="1" t="s">
        <v>193</v>
      </c>
      <c r="Y91" s="3">
        <v>17.0</v>
      </c>
      <c r="Z91" s="3">
        <v>19.0</v>
      </c>
    </row>
    <row r="92">
      <c r="A92" s="3">
        <v>3.0</v>
      </c>
      <c r="B92" s="1" t="s">
        <v>26</v>
      </c>
      <c r="C92" s="1">
        <v>10.0</v>
      </c>
      <c r="D92" s="3" t="s">
        <v>34</v>
      </c>
      <c r="E92" s="1" t="s">
        <v>26</v>
      </c>
      <c r="F92" s="1">
        <v>31.0</v>
      </c>
      <c r="G92" s="3" t="s">
        <v>35</v>
      </c>
      <c r="H92" s="2" t="s">
        <v>36</v>
      </c>
      <c r="I92" s="2" t="s">
        <v>37</v>
      </c>
      <c r="J92" s="1" t="s">
        <v>38</v>
      </c>
      <c r="K92" s="1" t="s">
        <v>74</v>
      </c>
      <c r="L92" s="1">
        <v>2.0</v>
      </c>
      <c r="M92" s="1">
        <v>-40.0</v>
      </c>
      <c r="N92" s="1">
        <v>-40.0</v>
      </c>
      <c r="O92" s="1">
        <v>0.0</v>
      </c>
      <c r="P92" s="1" t="s">
        <v>194</v>
      </c>
      <c r="Q92" s="1">
        <v>10.0</v>
      </c>
      <c r="R92" s="4">
        <v>1.122841</v>
      </c>
      <c r="S92" s="4">
        <v>-2.05</v>
      </c>
      <c r="T92" s="4">
        <v>-3.172841</v>
      </c>
      <c r="U92" s="1">
        <v>72.0</v>
      </c>
      <c r="V92" s="1" t="s">
        <v>28</v>
      </c>
      <c r="W92" s="1" t="s">
        <v>83</v>
      </c>
      <c r="X92" s="1" t="s">
        <v>195</v>
      </c>
      <c r="Y92" s="3">
        <v>17.0</v>
      </c>
      <c r="Z92" s="3">
        <v>19.0</v>
      </c>
    </row>
    <row r="93">
      <c r="A93" s="3">
        <v>3.0</v>
      </c>
      <c r="B93" s="1" t="s">
        <v>28</v>
      </c>
      <c r="C93" s="1">
        <v>15.0</v>
      </c>
      <c r="D93" s="3" t="s">
        <v>51</v>
      </c>
      <c r="E93" s="1" t="s">
        <v>28</v>
      </c>
      <c r="F93" s="1">
        <v>17.0</v>
      </c>
      <c r="G93" s="1" t="s">
        <v>144</v>
      </c>
      <c r="H93" s="2" t="s">
        <v>36</v>
      </c>
      <c r="I93" s="2" t="s">
        <v>53</v>
      </c>
      <c r="J93" s="1" t="s">
        <v>117</v>
      </c>
      <c r="K93" s="1" t="s">
        <v>39</v>
      </c>
      <c r="L93" s="3">
        <v>10.0</v>
      </c>
      <c r="M93" s="1">
        <v>40.0</v>
      </c>
      <c r="N93" s="1">
        <v>40.0</v>
      </c>
      <c r="O93" s="1">
        <v>0.0</v>
      </c>
      <c r="P93" s="1" t="s">
        <v>54</v>
      </c>
      <c r="Q93" s="1">
        <v>10.0</v>
      </c>
      <c r="R93" s="4">
        <v>2.051391</v>
      </c>
      <c r="S93" s="4">
        <v>1.459293</v>
      </c>
      <c r="T93" s="4">
        <v>-0.5921</v>
      </c>
      <c r="U93" s="1" t="s">
        <v>27</v>
      </c>
      <c r="V93" s="1" t="s">
        <v>27</v>
      </c>
      <c r="W93" s="1" t="s">
        <v>27</v>
      </c>
      <c r="X93" s="1" t="s">
        <v>196</v>
      </c>
      <c r="Y93" s="3">
        <v>17.0</v>
      </c>
      <c r="Z93" s="3">
        <v>19.0</v>
      </c>
    </row>
    <row r="94">
      <c r="A94" s="3">
        <v>3.0</v>
      </c>
      <c r="B94" s="1" t="s">
        <v>28</v>
      </c>
      <c r="C94" s="1">
        <v>15.0</v>
      </c>
      <c r="D94" s="3" t="s">
        <v>51</v>
      </c>
      <c r="E94" s="1" t="s">
        <v>28</v>
      </c>
      <c r="F94" s="1">
        <v>23.0</v>
      </c>
      <c r="G94" s="3" t="s">
        <v>61</v>
      </c>
      <c r="H94" s="2" t="s">
        <v>36</v>
      </c>
      <c r="I94" s="2" t="s">
        <v>37</v>
      </c>
      <c r="J94" s="1" t="s">
        <v>38</v>
      </c>
      <c r="K94" s="1" t="s">
        <v>58</v>
      </c>
      <c r="L94" s="1">
        <v>10.0</v>
      </c>
      <c r="M94" s="1">
        <v>40.0</v>
      </c>
      <c r="N94" s="1">
        <v>44.0</v>
      </c>
      <c r="O94" s="1">
        <v>4.0</v>
      </c>
      <c r="P94" s="1" t="s">
        <v>64</v>
      </c>
      <c r="Q94" s="1">
        <v>6.0</v>
      </c>
      <c r="R94" s="4">
        <v>1.459293</v>
      </c>
      <c r="S94" s="4">
        <v>1.236568</v>
      </c>
      <c r="T94" s="4">
        <v>-0.22273</v>
      </c>
      <c r="U94" s="1">
        <v>2.0</v>
      </c>
      <c r="V94" s="1" t="s">
        <v>26</v>
      </c>
      <c r="W94" s="1" t="s">
        <v>62</v>
      </c>
      <c r="X94" s="1" t="s">
        <v>197</v>
      </c>
      <c r="Y94" s="3">
        <v>17.0</v>
      </c>
      <c r="Z94" s="3">
        <v>19.0</v>
      </c>
    </row>
    <row r="95">
      <c r="A95" s="3">
        <v>3.0</v>
      </c>
      <c r="B95" s="1" t="s">
        <v>28</v>
      </c>
      <c r="C95" s="1">
        <v>15.0</v>
      </c>
      <c r="D95" s="3" t="s">
        <v>51</v>
      </c>
      <c r="E95" s="1" t="s">
        <v>28</v>
      </c>
      <c r="F95" s="1">
        <v>82.0</v>
      </c>
      <c r="G95" s="3" t="s">
        <v>102</v>
      </c>
      <c r="H95" s="2" t="s">
        <v>36</v>
      </c>
      <c r="I95" s="2" t="s">
        <v>53</v>
      </c>
      <c r="J95" s="1" t="s">
        <v>117</v>
      </c>
      <c r="K95" s="1" t="s">
        <v>69</v>
      </c>
      <c r="L95" s="1">
        <v>6.0</v>
      </c>
      <c r="M95" s="1">
        <v>44.0</v>
      </c>
      <c r="N95" s="1">
        <v>44.0</v>
      </c>
      <c r="O95" s="1">
        <v>0.0</v>
      </c>
      <c r="P95" s="1" t="s">
        <v>70</v>
      </c>
      <c r="Q95" s="1">
        <v>6.0</v>
      </c>
      <c r="R95" s="4">
        <v>1.236568</v>
      </c>
      <c r="S95" s="4">
        <v>-0.22943</v>
      </c>
      <c r="T95" s="4">
        <v>-1.466</v>
      </c>
      <c r="U95" s="1" t="s">
        <v>27</v>
      </c>
      <c r="V95" s="1" t="s">
        <v>27</v>
      </c>
      <c r="W95" s="1" t="s">
        <v>27</v>
      </c>
      <c r="X95" s="1" t="s">
        <v>198</v>
      </c>
      <c r="Y95" s="3">
        <v>17.0</v>
      </c>
      <c r="Z95" s="3">
        <v>19.0</v>
      </c>
    </row>
    <row r="96">
      <c r="A96" s="3">
        <v>3.0</v>
      </c>
      <c r="B96" s="1" t="s">
        <v>28</v>
      </c>
      <c r="C96" s="1" t="s">
        <v>27</v>
      </c>
      <c r="D96" s="1" t="s">
        <v>27</v>
      </c>
      <c r="E96" s="1" t="s">
        <v>28</v>
      </c>
      <c r="F96" s="1">
        <v>87.0</v>
      </c>
      <c r="G96" s="3" t="s">
        <v>199</v>
      </c>
      <c r="H96" s="2" t="s">
        <v>30</v>
      </c>
      <c r="I96" s="2"/>
      <c r="J96" s="1" t="s">
        <v>73</v>
      </c>
      <c r="K96" s="1" t="s">
        <v>74</v>
      </c>
      <c r="L96" s="1">
        <v>6.0</v>
      </c>
      <c r="M96" s="1">
        <v>34.0</v>
      </c>
      <c r="N96" s="1">
        <v>-14.0</v>
      </c>
      <c r="O96" s="1">
        <v>52.0</v>
      </c>
      <c r="P96" s="1" t="s">
        <v>167</v>
      </c>
      <c r="Q96" s="1"/>
      <c r="R96" s="4">
        <v>-0.22943</v>
      </c>
      <c r="S96" s="4">
        <v>-2.387414</v>
      </c>
      <c r="T96" s="4">
        <v>-2.1579840000000003</v>
      </c>
      <c r="U96" s="1" t="s">
        <v>27</v>
      </c>
      <c r="V96" s="1" t="s">
        <v>27</v>
      </c>
      <c r="W96" s="1" t="s">
        <v>27</v>
      </c>
      <c r="X96" s="1" t="s">
        <v>200</v>
      </c>
      <c r="Y96" s="3">
        <v>17.0</v>
      </c>
      <c r="Z96" s="3">
        <v>19.0</v>
      </c>
    </row>
    <row r="97">
      <c r="A97" s="3">
        <v>3.0</v>
      </c>
      <c r="B97" s="1" t="s">
        <v>26</v>
      </c>
      <c r="C97" s="1" t="s">
        <v>27</v>
      </c>
      <c r="D97" s="1" t="s">
        <v>27</v>
      </c>
      <c r="E97" s="1" t="s">
        <v>28</v>
      </c>
      <c r="F97" s="1" t="s">
        <v>27</v>
      </c>
      <c r="G97" s="1" t="s">
        <v>27</v>
      </c>
      <c r="H97" s="2" t="s">
        <v>36</v>
      </c>
      <c r="I97" s="2"/>
      <c r="J97" s="1" t="s">
        <v>161</v>
      </c>
      <c r="K97" s="1" t="s">
        <v>39</v>
      </c>
      <c r="L97" s="3">
        <v>10.0</v>
      </c>
      <c r="M97" s="1">
        <v>45.0</v>
      </c>
      <c r="N97" s="1">
        <v>-40.0</v>
      </c>
      <c r="O97" s="1">
        <v>15.0</v>
      </c>
      <c r="P97" s="1" t="s">
        <v>48</v>
      </c>
      <c r="Q97" s="1">
        <v>10.0</v>
      </c>
      <c r="R97" s="4">
        <v>2.387414</v>
      </c>
      <c r="S97" s="4">
        <v>3.266093</v>
      </c>
      <c r="T97" s="4">
        <v>0.878679</v>
      </c>
      <c r="U97" s="1" t="s">
        <v>27</v>
      </c>
      <c r="V97" s="1" t="s">
        <v>27</v>
      </c>
      <c r="W97" s="1" t="s">
        <v>27</v>
      </c>
      <c r="X97" s="1" t="s">
        <v>201</v>
      </c>
      <c r="Y97" s="3">
        <v>17.0</v>
      </c>
      <c r="Z97" s="3">
        <v>19.0</v>
      </c>
    </row>
    <row r="98">
      <c r="A98" s="3">
        <v>3.0</v>
      </c>
      <c r="B98" s="1" t="s">
        <v>26</v>
      </c>
      <c r="C98" s="1" t="s">
        <v>27</v>
      </c>
      <c r="D98" s="1" t="s">
        <v>27</v>
      </c>
      <c r="E98" s="1" t="s">
        <v>26</v>
      </c>
      <c r="F98" s="1" t="s">
        <v>27</v>
      </c>
      <c r="G98" s="1" t="s">
        <v>27</v>
      </c>
      <c r="H98" s="2" t="s">
        <v>36</v>
      </c>
      <c r="I98" s="2"/>
      <c r="J98" s="1" t="s">
        <v>106</v>
      </c>
      <c r="K98" s="1" t="s">
        <v>39</v>
      </c>
      <c r="L98" s="3">
        <v>10.0</v>
      </c>
      <c r="M98" s="1">
        <v>-40.0</v>
      </c>
      <c r="N98" s="1">
        <v>50.0</v>
      </c>
      <c r="O98" s="1">
        <v>-10.0</v>
      </c>
      <c r="P98" s="1" t="s">
        <v>48</v>
      </c>
      <c r="Q98" s="1">
        <v>20.0</v>
      </c>
      <c r="R98" s="4">
        <v>3.266093</v>
      </c>
      <c r="S98" s="4">
        <v>2.505376</v>
      </c>
      <c r="T98" s="4">
        <v>-0.76072</v>
      </c>
      <c r="U98" s="1" t="s">
        <v>27</v>
      </c>
      <c r="V98" s="1" t="s">
        <v>27</v>
      </c>
      <c r="W98" s="1" t="s">
        <v>27</v>
      </c>
      <c r="X98" s="1" t="s">
        <v>121</v>
      </c>
      <c r="Y98" s="3">
        <v>17.0</v>
      </c>
      <c r="Z98" s="3">
        <v>19.0</v>
      </c>
    </row>
    <row r="99">
      <c r="A99" s="3">
        <v>3.0</v>
      </c>
      <c r="B99" s="1" t="s">
        <v>26</v>
      </c>
      <c r="C99" s="1">
        <v>10.0</v>
      </c>
      <c r="D99" s="3" t="s">
        <v>34</v>
      </c>
      <c r="E99" s="1" t="s">
        <v>26</v>
      </c>
      <c r="F99" s="1">
        <v>10.0</v>
      </c>
      <c r="G99" s="3" t="s">
        <v>34</v>
      </c>
      <c r="H99" s="2" t="s">
        <v>36</v>
      </c>
      <c r="I99" s="2" t="s">
        <v>37</v>
      </c>
      <c r="J99" s="1" t="s">
        <v>38</v>
      </c>
      <c r="K99" s="1" t="s">
        <v>39</v>
      </c>
      <c r="L99" s="3">
        <v>20.0</v>
      </c>
      <c r="M99" s="1">
        <v>50.0</v>
      </c>
      <c r="N99" s="1">
        <v>-36.0</v>
      </c>
      <c r="O99" s="1">
        <v>14.0</v>
      </c>
      <c r="P99" s="1" t="s">
        <v>54</v>
      </c>
      <c r="Q99" s="1">
        <v>6.0</v>
      </c>
      <c r="R99" s="4">
        <v>2.505376</v>
      </c>
      <c r="S99" s="4">
        <v>3.204855</v>
      </c>
      <c r="T99" s="4">
        <v>0.69948</v>
      </c>
      <c r="U99" s="1" t="s">
        <v>27</v>
      </c>
      <c r="V99" s="1" t="s">
        <v>27</v>
      </c>
      <c r="W99" s="1" t="s">
        <v>27</v>
      </c>
      <c r="X99" s="1" t="s">
        <v>202</v>
      </c>
      <c r="Y99" s="3">
        <v>17.0</v>
      </c>
      <c r="Z99" s="3">
        <v>19.0</v>
      </c>
    </row>
    <row r="100">
      <c r="A100" s="3">
        <v>3.0</v>
      </c>
      <c r="B100" s="1" t="s">
        <v>26</v>
      </c>
      <c r="C100" s="1">
        <v>10.0</v>
      </c>
      <c r="D100" s="3" t="s">
        <v>34</v>
      </c>
      <c r="E100" s="1" t="s">
        <v>26</v>
      </c>
      <c r="F100" s="1">
        <v>3.0</v>
      </c>
      <c r="G100" s="3" t="s">
        <v>128</v>
      </c>
      <c r="H100" s="2" t="s">
        <v>36</v>
      </c>
      <c r="I100" s="2" t="s">
        <v>53</v>
      </c>
      <c r="J100" s="1" t="s">
        <v>117</v>
      </c>
      <c r="K100" s="1" t="s">
        <v>58</v>
      </c>
      <c r="L100" s="1">
        <v>6.0</v>
      </c>
      <c r="M100" s="1">
        <v>-36.0</v>
      </c>
      <c r="N100" s="1">
        <v>-36.0</v>
      </c>
      <c r="O100" s="1">
        <v>0.0</v>
      </c>
      <c r="P100" s="1" t="s">
        <v>64</v>
      </c>
      <c r="Q100" s="1">
        <v>6.0</v>
      </c>
      <c r="R100" s="4">
        <v>3.204855</v>
      </c>
      <c r="S100" s="4">
        <v>2.552942</v>
      </c>
      <c r="T100" s="4">
        <v>-0.65191</v>
      </c>
      <c r="U100" s="1" t="s">
        <v>27</v>
      </c>
      <c r="V100" s="1" t="s">
        <v>27</v>
      </c>
      <c r="W100" s="1" t="s">
        <v>27</v>
      </c>
      <c r="X100" s="1" t="s">
        <v>133</v>
      </c>
      <c r="Y100" s="3">
        <v>17.0</v>
      </c>
      <c r="Z100" s="3">
        <v>19.0</v>
      </c>
    </row>
    <row r="101">
      <c r="A101" s="3">
        <v>3.0</v>
      </c>
      <c r="B101" s="1" t="s">
        <v>26</v>
      </c>
      <c r="C101" s="1">
        <v>10.0</v>
      </c>
      <c r="D101" s="3" t="s">
        <v>34</v>
      </c>
      <c r="E101" s="1" t="s">
        <v>26</v>
      </c>
      <c r="F101" s="1">
        <v>10.0</v>
      </c>
      <c r="G101" s="3" t="s">
        <v>34</v>
      </c>
      <c r="H101" s="2" t="s">
        <v>36</v>
      </c>
      <c r="I101" s="2" t="s">
        <v>37</v>
      </c>
      <c r="J101" s="1" t="s">
        <v>38</v>
      </c>
      <c r="K101" s="1" t="s">
        <v>69</v>
      </c>
      <c r="L101" s="1">
        <v>6.0</v>
      </c>
      <c r="M101" s="1">
        <v>-36.0</v>
      </c>
      <c r="N101" s="1">
        <v>-28.0</v>
      </c>
      <c r="O101" s="1">
        <v>8.0</v>
      </c>
      <c r="P101" s="1" t="s">
        <v>48</v>
      </c>
      <c r="Q101" s="1">
        <v>10.0</v>
      </c>
      <c r="R101" s="4">
        <v>2.552942</v>
      </c>
      <c r="S101" s="4">
        <v>3.792443</v>
      </c>
      <c r="T101" s="4">
        <v>1.239502</v>
      </c>
      <c r="U101" s="1">
        <v>10.0</v>
      </c>
      <c r="V101" s="1" t="s">
        <v>28</v>
      </c>
      <c r="W101" s="1" t="s">
        <v>114</v>
      </c>
      <c r="X101" s="1" t="s">
        <v>203</v>
      </c>
      <c r="Y101" s="3">
        <v>17.0</v>
      </c>
      <c r="Z101" s="3">
        <v>19.0</v>
      </c>
    </row>
    <row r="102">
      <c r="A102" s="3">
        <v>3.0</v>
      </c>
      <c r="B102" s="1" t="s">
        <v>26</v>
      </c>
      <c r="C102" s="1">
        <v>10.0</v>
      </c>
      <c r="D102" s="3" t="s">
        <v>34</v>
      </c>
      <c r="E102" s="1" t="s">
        <v>26</v>
      </c>
      <c r="F102" s="1">
        <v>31.0</v>
      </c>
      <c r="G102" s="3" t="s">
        <v>35</v>
      </c>
      <c r="H102" s="2" t="s">
        <v>36</v>
      </c>
      <c r="I102" s="2" t="s">
        <v>37</v>
      </c>
      <c r="J102" s="1" t="s">
        <v>38</v>
      </c>
      <c r="K102" s="1" t="s">
        <v>39</v>
      </c>
      <c r="L102" s="3">
        <v>10.0</v>
      </c>
      <c r="M102" s="1">
        <v>-28.0</v>
      </c>
      <c r="N102" s="1">
        <v>-26.0</v>
      </c>
      <c r="O102" s="1">
        <v>2.0</v>
      </c>
      <c r="P102" s="1" t="s">
        <v>54</v>
      </c>
      <c r="Q102" s="1">
        <v>8.0</v>
      </c>
      <c r="R102" s="4">
        <v>3.792443</v>
      </c>
      <c r="S102" s="4">
        <v>3.595042</v>
      </c>
      <c r="T102" s="4">
        <v>-0.1974</v>
      </c>
      <c r="U102" s="1">
        <v>2.0</v>
      </c>
      <c r="V102" s="1" t="s">
        <v>28</v>
      </c>
      <c r="W102" s="1" t="s">
        <v>86</v>
      </c>
      <c r="X102" s="1" t="s">
        <v>132</v>
      </c>
      <c r="Y102" s="3">
        <v>17.0</v>
      </c>
      <c r="Z102" s="3">
        <v>19.0</v>
      </c>
    </row>
    <row r="103">
      <c r="A103" s="3">
        <v>3.0</v>
      </c>
      <c r="B103" s="1" t="s">
        <v>26</v>
      </c>
      <c r="C103" s="1">
        <v>10.0</v>
      </c>
      <c r="D103" s="3" t="s">
        <v>34</v>
      </c>
      <c r="E103" s="1" t="s">
        <v>26</v>
      </c>
      <c r="F103" s="1">
        <v>31.0</v>
      </c>
      <c r="G103" s="3" t="s">
        <v>35</v>
      </c>
      <c r="H103" s="2" t="s">
        <v>36</v>
      </c>
      <c r="I103" s="2" t="s">
        <v>37</v>
      </c>
      <c r="J103" s="1" t="s">
        <v>38</v>
      </c>
      <c r="K103" s="1" t="s">
        <v>58</v>
      </c>
      <c r="L103" s="1">
        <v>8.0</v>
      </c>
      <c r="M103" s="1">
        <v>-26.0</v>
      </c>
      <c r="N103" s="1">
        <v>-19.0</v>
      </c>
      <c r="O103" s="1">
        <v>7.0</v>
      </c>
      <c r="P103" s="1" t="s">
        <v>64</v>
      </c>
      <c r="Q103" s="1">
        <v>1.0</v>
      </c>
      <c r="R103" s="4">
        <v>3.595042</v>
      </c>
      <c r="S103" s="4">
        <v>3.825662</v>
      </c>
      <c r="T103" s="4">
        <v>0.23062</v>
      </c>
      <c r="U103" s="1">
        <v>5.0</v>
      </c>
      <c r="V103" s="1" t="s">
        <v>28</v>
      </c>
      <c r="W103" s="1" t="s">
        <v>204</v>
      </c>
      <c r="X103" s="1" t="s">
        <v>205</v>
      </c>
      <c r="Y103" s="3">
        <v>17.0</v>
      </c>
      <c r="Z103" s="3">
        <v>19.0</v>
      </c>
    </row>
    <row r="104">
      <c r="A104" s="3">
        <v>3.0</v>
      </c>
      <c r="B104" s="1" t="s">
        <v>26</v>
      </c>
      <c r="C104" s="1">
        <v>10.0</v>
      </c>
      <c r="D104" s="3" t="s">
        <v>34</v>
      </c>
      <c r="E104" s="1" t="s">
        <v>26</v>
      </c>
      <c r="F104" s="1">
        <v>21.0</v>
      </c>
      <c r="G104" s="1" t="s">
        <v>77</v>
      </c>
      <c r="H104" s="2" t="s">
        <v>36</v>
      </c>
      <c r="I104" s="2" t="s">
        <v>37</v>
      </c>
      <c r="J104" s="1" t="s">
        <v>38</v>
      </c>
      <c r="K104" s="1" t="s">
        <v>69</v>
      </c>
      <c r="L104" s="1">
        <v>1.0</v>
      </c>
      <c r="M104" s="1">
        <v>-19.0</v>
      </c>
      <c r="N104" s="1">
        <v>-17.0</v>
      </c>
      <c r="O104" s="1">
        <v>2.0</v>
      </c>
      <c r="P104" s="1" t="s">
        <v>48</v>
      </c>
      <c r="Q104" s="1">
        <v>10.0</v>
      </c>
      <c r="R104" s="4">
        <v>3.825662</v>
      </c>
      <c r="S104" s="4">
        <v>4.193824</v>
      </c>
      <c r="T104" s="4">
        <v>0.368162</v>
      </c>
      <c r="U104" s="1">
        <v>5.0</v>
      </c>
      <c r="V104" s="1" t="s">
        <v>28</v>
      </c>
      <c r="W104" s="1" t="s">
        <v>204</v>
      </c>
      <c r="X104" s="1" t="s">
        <v>206</v>
      </c>
      <c r="Y104" s="3">
        <v>17.0</v>
      </c>
      <c r="Z104" s="3">
        <v>19.0</v>
      </c>
    </row>
    <row r="105">
      <c r="A105" s="3">
        <v>3.0</v>
      </c>
      <c r="B105" s="1" t="s">
        <v>26</v>
      </c>
      <c r="C105" s="1">
        <v>10.0</v>
      </c>
      <c r="D105" s="3" t="s">
        <v>34</v>
      </c>
      <c r="E105" s="1" t="s">
        <v>26</v>
      </c>
      <c r="F105" s="1">
        <v>20.0</v>
      </c>
      <c r="G105" s="1" t="s">
        <v>148</v>
      </c>
      <c r="H105" s="2" t="s">
        <v>36</v>
      </c>
      <c r="I105" s="2" t="s">
        <v>37</v>
      </c>
      <c r="J105" s="1" t="s">
        <v>38</v>
      </c>
      <c r="K105" s="1" t="s">
        <v>39</v>
      </c>
      <c r="L105" s="3">
        <v>10.0</v>
      </c>
      <c r="M105" s="1">
        <v>-17.0</v>
      </c>
      <c r="N105" s="1">
        <v>0.0</v>
      </c>
      <c r="O105" s="1">
        <v>17.0</v>
      </c>
      <c r="P105" s="1" t="s">
        <v>40</v>
      </c>
      <c r="Q105" s="1"/>
      <c r="R105" s="4">
        <v>4.193824</v>
      </c>
      <c r="S105" s="4">
        <v>7.0</v>
      </c>
      <c r="T105" s="4">
        <v>2.806176</v>
      </c>
      <c r="U105" s="1" t="s">
        <v>27</v>
      </c>
      <c r="V105" s="1" t="s">
        <v>27</v>
      </c>
      <c r="W105" s="1" t="s">
        <v>27</v>
      </c>
      <c r="X105" s="1" t="s">
        <v>207</v>
      </c>
      <c r="Y105" s="3">
        <v>17.0</v>
      </c>
      <c r="Z105" s="3">
        <v>25.0</v>
      </c>
    </row>
    <row r="106">
      <c r="A106" s="3">
        <v>3.0</v>
      </c>
      <c r="B106" s="1" t="s">
        <v>26</v>
      </c>
      <c r="C106" s="1" t="s">
        <v>27</v>
      </c>
      <c r="D106" s="1" t="s">
        <v>27</v>
      </c>
      <c r="E106" s="1" t="s">
        <v>26</v>
      </c>
      <c r="F106" s="1">
        <v>42.0</v>
      </c>
      <c r="G106" s="1" t="s">
        <v>42</v>
      </c>
      <c r="H106" s="2" t="s">
        <v>30</v>
      </c>
      <c r="I106" s="2"/>
      <c r="J106" s="1" t="s">
        <v>43</v>
      </c>
      <c r="K106" s="1" t="s">
        <v>27</v>
      </c>
      <c r="L106" s="1"/>
      <c r="M106" s="1">
        <v>-10.0</v>
      </c>
      <c r="N106" s="1">
        <v>0.0</v>
      </c>
      <c r="O106" s="1">
        <v>20.0</v>
      </c>
      <c r="P106" s="1" t="s">
        <v>146</v>
      </c>
      <c r="Q106" s="1"/>
      <c r="R106" s="5"/>
      <c r="S106" s="5"/>
      <c r="T106" s="4">
        <v>0.0</v>
      </c>
      <c r="U106" s="1" t="s">
        <v>27</v>
      </c>
      <c r="V106" s="1" t="s">
        <v>27</v>
      </c>
      <c r="W106" s="1" t="s">
        <v>27</v>
      </c>
      <c r="X106" s="1" t="s">
        <v>166</v>
      </c>
      <c r="Y106" s="3">
        <v>17.0</v>
      </c>
      <c r="Z106" s="3">
        <v>26.0</v>
      </c>
    </row>
    <row r="107">
      <c r="A107" s="3">
        <v>3.0</v>
      </c>
      <c r="B107" s="2" t="s">
        <v>28</v>
      </c>
      <c r="C107" s="1" t="s">
        <v>27</v>
      </c>
      <c r="D107" s="1" t="s">
        <v>27</v>
      </c>
      <c r="E107" s="1" t="s">
        <v>26</v>
      </c>
      <c r="F107" s="1">
        <v>42.0</v>
      </c>
      <c r="G107" s="1" t="s">
        <v>42</v>
      </c>
      <c r="H107" s="2" t="s">
        <v>30</v>
      </c>
      <c r="I107" s="2"/>
      <c r="J107" s="1" t="s">
        <v>31</v>
      </c>
      <c r="K107" s="1" t="s">
        <v>27</v>
      </c>
      <c r="L107" s="1"/>
      <c r="M107" s="1">
        <v>35.0</v>
      </c>
      <c r="N107" s="1">
        <v>0.0</v>
      </c>
      <c r="O107" s="1">
        <v>65.0</v>
      </c>
      <c r="P107" s="1" t="s">
        <v>32</v>
      </c>
      <c r="Q107" s="1">
        <v>10.0</v>
      </c>
      <c r="R107" s="4">
        <v>0.0</v>
      </c>
      <c r="S107" s="4">
        <v>0.884959</v>
      </c>
      <c r="T107" s="4">
        <v>0.884959</v>
      </c>
      <c r="U107" s="1" t="s">
        <v>27</v>
      </c>
      <c r="V107" s="1" t="s">
        <v>27</v>
      </c>
      <c r="W107" s="1" t="s">
        <v>27</v>
      </c>
      <c r="X107" s="1" t="s">
        <v>208</v>
      </c>
      <c r="Y107" s="3">
        <v>17.0</v>
      </c>
      <c r="Z107" s="3">
        <v>26.0</v>
      </c>
    </row>
    <row r="108">
      <c r="A108" s="3">
        <v>3.0</v>
      </c>
      <c r="B108" s="1" t="s">
        <v>28</v>
      </c>
      <c r="C108" s="1">
        <v>15.0</v>
      </c>
      <c r="D108" s="3" t="s">
        <v>51</v>
      </c>
      <c r="E108" s="1" t="s">
        <v>28</v>
      </c>
      <c r="F108" s="1">
        <v>4.0</v>
      </c>
      <c r="G108" s="3" t="s">
        <v>52</v>
      </c>
      <c r="H108" s="2" t="s">
        <v>36</v>
      </c>
      <c r="I108" s="2" t="s">
        <v>53</v>
      </c>
      <c r="J108" s="1" t="s">
        <v>53</v>
      </c>
      <c r="K108" s="1" t="s">
        <v>39</v>
      </c>
      <c r="L108" s="3">
        <v>10.0</v>
      </c>
      <c r="M108" s="1">
        <v>25.0</v>
      </c>
      <c r="N108" s="1">
        <v>31.0</v>
      </c>
      <c r="O108" s="1">
        <v>6.0</v>
      </c>
      <c r="P108" s="1" t="s">
        <v>54</v>
      </c>
      <c r="Q108" s="1">
        <v>4.0</v>
      </c>
      <c r="R108" s="4">
        <v>0.884959</v>
      </c>
      <c r="S108" s="4">
        <v>1.172528</v>
      </c>
      <c r="T108" s="4">
        <v>0.287568</v>
      </c>
      <c r="U108" s="1" t="s">
        <v>27</v>
      </c>
      <c r="V108" s="1" t="s">
        <v>27</v>
      </c>
      <c r="W108" s="1" t="s">
        <v>27</v>
      </c>
      <c r="X108" s="1" t="s">
        <v>56</v>
      </c>
      <c r="Y108" s="3">
        <v>17.0</v>
      </c>
      <c r="Z108" s="3">
        <v>26.0</v>
      </c>
    </row>
    <row r="109">
      <c r="A109" s="3">
        <v>3.0</v>
      </c>
      <c r="B109" s="1" t="s">
        <v>28</v>
      </c>
      <c r="C109" s="1">
        <v>15.0</v>
      </c>
      <c r="D109" s="3" t="s">
        <v>51</v>
      </c>
      <c r="E109" s="1" t="s">
        <v>28</v>
      </c>
      <c r="F109" s="1">
        <v>82.0</v>
      </c>
      <c r="G109" s="3" t="s">
        <v>102</v>
      </c>
      <c r="H109" s="2" t="s">
        <v>36</v>
      </c>
      <c r="I109" s="2" t="s">
        <v>53</v>
      </c>
      <c r="J109" s="1" t="s">
        <v>117</v>
      </c>
      <c r="K109" s="1" t="s">
        <v>58</v>
      </c>
      <c r="L109" s="1">
        <v>4.0</v>
      </c>
      <c r="M109" s="1">
        <v>31.0</v>
      </c>
      <c r="N109" s="1">
        <v>31.0</v>
      </c>
      <c r="O109" s="1">
        <v>0.0</v>
      </c>
      <c r="P109" s="1" t="s">
        <v>64</v>
      </c>
      <c r="Q109" s="1">
        <v>4.0</v>
      </c>
      <c r="R109" s="4">
        <v>1.172528</v>
      </c>
      <c r="S109" s="4">
        <v>0.391952</v>
      </c>
      <c r="T109" s="4">
        <v>-0.78058</v>
      </c>
      <c r="U109" s="1" t="s">
        <v>27</v>
      </c>
      <c r="V109" s="1" t="s">
        <v>27</v>
      </c>
      <c r="W109" s="1" t="s">
        <v>27</v>
      </c>
      <c r="X109" s="1" t="s">
        <v>198</v>
      </c>
      <c r="Y109" s="3">
        <v>17.0</v>
      </c>
      <c r="Z109" s="3">
        <v>26.0</v>
      </c>
    </row>
    <row r="110">
      <c r="A110" s="3">
        <v>3.0</v>
      </c>
      <c r="B110" s="1" t="s">
        <v>28</v>
      </c>
      <c r="C110" s="1" t="s">
        <v>27</v>
      </c>
      <c r="D110" s="1" t="s">
        <v>27</v>
      </c>
      <c r="E110" s="1" t="s">
        <v>26</v>
      </c>
      <c r="F110" s="1" t="s">
        <v>27</v>
      </c>
      <c r="G110" s="1" t="s">
        <v>27</v>
      </c>
      <c r="H110" s="2" t="s">
        <v>36</v>
      </c>
      <c r="I110" s="2"/>
      <c r="J110" s="1" t="s">
        <v>161</v>
      </c>
      <c r="K110" s="1" t="s">
        <v>69</v>
      </c>
      <c r="L110" s="1">
        <v>4.0</v>
      </c>
      <c r="M110" s="1">
        <v>31.0</v>
      </c>
      <c r="N110" s="1">
        <v>46.0</v>
      </c>
      <c r="O110" s="1">
        <v>15.0</v>
      </c>
      <c r="P110" s="1" t="s">
        <v>48</v>
      </c>
      <c r="Q110" s="1">
        <v>10.0</v>
      </c>
      <c r="R110" s="4">
        <v>0.391952</v>
      </c>
      <c r="S110" s="4">
        <v>2.468226</v>
      </c>
      <c r="T110" s="4">
        <v>2.076274</v>
      </c>
      <c r="U110" s="1" t="s">
        <v>27</v>
      </c>
      <c r="V110" s="1" t="s">
        <v>27</v>
      </c>
      <c r="W110" s="1" t="s">
        <v>27</v>
      </c>
      <c r="X110" s="1" t="s">
        <v>201</v>
      </c>
      <c r="Y110" s="3">
        <v>17.0</v>
      </c>
      <c r="Z110" s="3">
        <v>26.0</v>
      </c>
    </row>
    <row r="111">
      <c r="A111" s="3">
        <v>3.0</v>
      </c>
      <c r="B111" s="1" t="s">
        <v>28</v>
      </c>
      <c r="C111" s="1">
        <v>15.0</v>
      </c>
      <c r="D111" s="3" t="s">
        <v>51</v>
      </c>
      <c r="E111" s="1" t="s">
        <v>28</v>
      </c>
      <c r="F111" s="1">
        <v>82.0</v>
      </c>
      <c r="G111" s="3" t="s">
        <v>102</v>
      </c>
      <c r="H111" s="2" t="s">
        <v>36</v>
      </c>
      <c r="I111" s="2" t="s">
        <v>53</v>
      </c>
      <c r="J111" s="1" t="s">
        <v>53</v>
      </c>
      <c r="K111" s="1" t="s">
        <v>39</v>
      </c>
      <c r="L111" s="3">
        <v>10.0</v>
      </c>
      <c r="M111" s="1">
        <v>46.0</v>
      </c>
      <c r="N111" s="1">
        <v>-39.0</v>
      </c>
      <c r="O111" s="1">
        <v>15.0</v>
      </c>
      <c r="P111" s="1" t="s">
        <v>48</v>
      </c>
      <c r="Q111" s="1">
        <v>10.0</v>
      </c>
      <c r="R111" s="4">
        <v>2.468226</v>
      </c>
      <c r="S111" s="4">
        <v>3.286032</v>
      </c>
      <c r="T111" s="4">
        <v>0.817806</v>
      </c>
      <c r="U111" s="1" t="s">
        <v>27</v>
      </c>
      <c r="V111" s="1" t="s">
        <v>27</v>
      </c>
      <c r="W111" s="1" t="s">
        <v>27</v>
      </c>
      <c r="X111" s="1" t="s">
        <v>209</v>
      </c>
      <c r="Y111" s="3">
        <v>17.0</v>
      </c>
      <c r="Z111" s="3">
        <v>26.0</v>
      </c>
    </row>
    <row r="112">
      <c r="A112" s="3">
        <v>3.0</v>
      </c>
      <c r="B112" s="1" t="s">
        <v>28</v>
      </c>
      <c r="C112" s="1">
        <v>15.0</v>
      </c>
      <c r="D112" s="3" t="s">
        <v>51</v>
      </c>
      <c r="E112" s="1" t="s">
        <v>28</v>
      </c>
      <c r="F112" s="1">
        <v>23.0</v>
      </c>
      <c r="G112" s="3" t="s">
        <v>61</v>
      </c>
      <c r="H112" s="2" t="s">
        <v>36</v>
      </c>
      <c r="I112" s="2" t="s">
        <v>37</v>
      </c>
      <c r="J112" s="1" t="s">
        <v>38</v>
      </c>
      <c r="K112" s="1" t="s">
        <v>39</v>
      </c>
      <c r="L112" s="3">
        <v>10.0</v>
      </c>
      <c r="M112" s="1">
        <v>-39.0</v>
      </c>
      <c r="N112" s="1">
        <v>-33.0</v>
      </c>
      <c r="O112" s="1">
        <v>6.0</v>
      </c>
      <c r="P112" s="1" t="s">
        <v>54</v>
      </c>
      <c r="Q112" s="1">
        <v>4.0</v>
      </c>
      <c r="R112" s="4">
        <v>3.286032</v>
      </c>
      <c r="S112" s="4">
        <v>3.486481</v>
      </c>
      <c r="T112" s="4">
        <v>0.200448</v>
      </c>
      <c r="U112" s="1">
        <v>2.0</v>
      </c>
      <c r="V112" s="1" t="s">
        <v>26</v>
      </c>
      <c r="W112" s="1" t="s">
        <v>62</v>
      </c>
      <c r="X112" s="1" t="s">
        <v>210</v>
      </c>
      <c r="Y112" s="3">
        <v>17.0</v>
      </c>
      <c r="Z112" s="3">
        <v>26.0</v>
      </c>
    </row>
    <row r="113">
      <c r="A113" s="3">
        <v>3.0</v>
      </c>
      <c r="B113" s="1" t="s">
        <v>28</v>
      </c>
      <c r="C113" s="1">
        <v>15.0</v>
      </c>
      <c r="D113" s="3" t="s">
        <v>51</v>
      </c>
      <c r="E113" s="1" t="s">
        <v>28</v>
      </c>
      <c r="F113" s="1">
        <v>83.0</v>
      </c>
      <c r="G113" s="1" t="s">
        <v>171</v>
      </c>
      <c r="H113" s="2" t="s">
        <v>36</v>
      </c>
      <c r="I113" s="2" t="s">
        <v>53</v>
      </c>
      <c r="J113" s="1" t="s">
        <v>117</v>
      </c>
      <c r="K113" s="1" t="s">
        <v>58</v>
      </c>
      <c r="L113" s="1">
        <v>4.0</v>
      </c>
      <c r="M113" s="1">
        <v>-33.0</v>
      </c>
      <c r="N113" s="1">
        <v>-33.0</v>
      </c>
      <c r="O113" s="1">
        <v>0.0</v>
      </c>
      <c r="P113" s="1" t="s">
        <v>64</v>
      </c>
      <c r="Q113" s="1">
        <v>4.0</v>
      </c>
      <c r="R113" s="4">
        <v>3.486481</v>
      </c>
      <c r="S113" s="4">
        <v>2.873191</v>
      </c>
      <c r="T113" s="4">
        <v>-0.61329</v>
      </c>
      <c r="U113" s="1" t="s">
        <v>27</v>
      </c>
      <c r="V113" s="1" t="s">
        <v>27</v>
      </c>
      <c r="W113" s="1" t="s">
        <v>27</v>
      </c>
      <c r="X113" s="1" t="s">
        <v>211</v>
      </c>
      <c r="Y113" s="3">
        <v>17.0</v>
      </c>
      <c r="Z113" s="3">
        <v>26.0</v>
      </c>
    </row>
    <row r="114">
      <c r="A114" s="3">
        <v>3.0</v>
      </c>
      <c r="B114" s="1" t="s">
        <v>28</v>
      </c>
      <c r="C114" s="1">
        <v>15.0</v>
      </c>
      <c r="D114" s="3" t="s">
        <v>51</v>
      </c>
      <c r="E114" s="1" t="s">
        <v>28</v>
      </c>
      <c r="F114" s="1">
        <v>4.0</v>
      </c>
      <c r="G114" s="3" t="s">
        <v>52</v>
      </c>
      <c r="H114" s="2" t="s">
        <v>36</v>
      </c>
      <c r="I114" s="2" t="s">
        <v>53</v>
      </c>
      <c r="J114" s="1" t="s">
        <v>117</v>
      </c>
      <c r="K114" s="1" t="s">
        <v>69</v>
      </c>
      <c r="L114" s="1">
        <v>4.0</v>
      </c>
      <c r="M114" s="1">
        <v>-33.0</v>
      </c>
      <c r="N114" s="1">
        <v>-33.0</v>
      </c>
      <c r="O114" s="1">
        <v>0.0</v>
      </c>
      <c r="P114" s="1" t="s">
        <v>70</v>
      </c>
      <c r="Q114" s="1">
        <v>4.0</v>
      </c>
      <c r="R114" s="4">
        <v>2.873191</v>
      </c>
      <c r="S114" s="4">
        <v>1.402914</v>
      </c>
      <c r="T114" s="4">
        <v>-1.47028</v>
      </c>
      <c r="U114" s="1" t="s">
        <v>27</v>
      </c>
      <c r="V114" s="1" t="s">
        <v>27</v>
      </c>
      <c r="W114" s="1" t="s">
        <v>27</v>
      </c>
      <c r="X114" s="1" t="s">
        <v>127</v>
      </c>
      <c r="Y114" s="3">
        <v>17.0</v>
      </c>
      <c r="Z114" s="3">
        <v>26.0</v>
      </c>
    </row>
    <row r="115">
      <c r="A115" s="3">
        <v>3.0</v>
      </c>
      <c r="B115" s="1" t="s">
        <v>28</v>
      </c>
      <c r="C115" s="1">
        <v>15.0</v>
      </c>
      <c r="D115" s="3" t="s">
        <v>51</v>
      </c>
      <c r="E115" s="1" t="s">
        <v>28</v>
      </c>
      <c r="F115" s="1">
        <v>1.0</v>
      </c>
      <c r="G115" s="1" t="s">
        <v>212</v>
      </c>
      <c r="H115" s="2" t="s">
        <v>36</v>
      </c>
      <c r="I115" s="2" t="s">
        <v>53</v>
      </c>
      <c r="J115" s="1" t="s">
        <v>117</v>
      </c>
      <c r="K115" s="1" t="s">
        <v>74</v>
      </c>
      <c r="L115" s="1">
        <v>4.0</v>
      </c>
      <c r="M115" s="1">
        <v>-33.0</v>
      </c>
      <c r="N115" s="1">
        <v>-33.0</v>
      </c>
      <c r="O115" s="1">
        <v>0.0</v>
      </c>
      <c r="P115" s="1" t="s">
        <v>194</v>
      </c>
      <c r="Q115" s="1">
        <v>10.0</v>
      </c>
      <c r="R115" s="4">
        <v>1.402914</v>
      </c>
      <c r="S115" s="4">
        <v>-1.524915</v>
      </c>
      <c r="T115" s="4">
        <v>-2.927829</v>
      </c>
      <c r="U115" s="1" t="s">
        <v>27</v>
      </c>
      <c r="V115" s="1" t="s">
        <v>27</v>
      </c>
      <c r="W115" s="1" t="s">
        <v>27</v>
      </c>
      <c r="X115" s="1" t="s">
        <v>213</v>
      </c>
      <c r="Y115" s="3">
        <v>17.0</v>
      </c>
      <c r="Z115" s="3">
        <v>26.0</v>
      </c>
    </row>
    <row r="116">
      <c r="A116" s="3">
        <v>3.0</v>
      </c>
      <c r="B116" s="1" t="s">
        <v>26</v>
      </c>
      <c r="C116" s="1">
        <v>10.0</v>
      </c>
      <c r="D116" s="3" t="s">
        <v>34</v>
      </c>
      <c r="E116" s="1" t="s">
        <v>26</v>
      </c>
      <c r="F116" s="1">
        <v>31.0</v>
      </c>
      <c r="G116" s="3" t="s">
        <v>35</v>
      </c>
      <c r="H116" s="2" t="s">
        <v>36</v>
      </c>
      <c r="I116" s="2" t="s">
        <v>37</v>
      </c>
      <c r="J116" s="1" t="s">
        <v>38</v>
      </c>
      <c r="K116" s="1" t="s">
        <v>39</v>
      </c>
      <c r="L116" s="3">
        <v>10.0</v>
      </c>
      <c r="M116" s="1">
        <v>33.0</v>
      </c>
      <c r="N116" s="1">
        <v>0.0</v>
      </c>
      <c r="O116" s="1">
        <v>67.0</v>
      </c>
      <c r="P116" s="1" t="s">
        <v>40</v>
      </c>
      <c r="Q116" s="1"/>
      <c r="R116" s="4">
        <v>1.524915</v>
      </c>
      <c r="S116" s="4">
        <v>7.0</v>
      </c>
      <c r="T116" s="4">
        <v>5.475085</v>
      </c>
      <c r="U116" s="1" t="s">
        <v>27</v>
      </c>
      <c r="V116" s="1" t="s">
        <v>27</v>
      </c>
      <c r="W116" s="1" t="s">
        <v>27</v>
      </c>
      <c r="X116" s="1" t="s">
        <v>214</v>
      </c>
      <c r="Y116" s="3">
        <v>17.0</v>
      </c>
      <c r="Z116" s="3">
        <v>32.0</v>
      </c>
    </row>
    <row r="117">
      <c r="A117" s="3">
        <v>3.0</v>
      </c>
      <c r="B117" s="1" t="s">
        <v>26</v>
      </c>
      <c r="C117" s="1" t="s">
        <v>27</v>
      </c>
      <c r="D117" s="1" t="s">
        <v>27</v>
      </c>
      <c r="E117" s="1" t="s">
        <v>26</v>
      </c>
      <c r="F117" s="1">
        <v>42.0</v>
      </c>
      <c r="G117" s="1" t="s">
        <v>42</v>
      </c>
      <c r="H117" s="2" t="s">
        <v>30</v>
      </c>
      <c r="I117" s="2"/>
      <c r="J117" s="1" t="s">
        <v>43</v>
      </c>
      <c r="K117" s="1" t="s">
        <v>27</v>
      </c>
      <c r="L117" s="1"/>
      <c r="M117" s="1">
        <v>-10.0</v>
      </c>
      <c r="N117" s="1">
        <v>0.0</v>
      </c>
      <c r="O117" s="1">
        <v>20.0</v>
      </c>
      <c r="P117" s="1" t="s">
        <v>146</v>
      </c>
      <c r="Q117" s="1"/>
      <c r="R117" s="5"/>
      <c r="S117" s="5"/>
      <c r="T117" s="4">
        <v>0.0</v>
      </c>
      <c r="U117" s="1" t="s">
        <v>27</v>
      </c>
      <c r="V117" s="1" t="s">
        <v>27</v>
      </c>
      <c r="W117" s="1" t="s">
        <v>27</v>
      </c>
      <c r="X117" s="1" t="s">
        <v>166</v>
      </c>
      <c r="Y117" s="3">
        <v>17.0</v>
      </c>
      <c r="Z117" s="3">
        <v>33.0</v>
      </c>
    </row>
    <row r="118">
      <c r="A118" s="3">
        <v>3.0</v>
      </c>
      <c r="B118" s="2" t="s">
        <v>28</v>
      </c>
      <c r="C118" s="1" t="s">
        <v>27</v>
      </c>
      <c r="D118" s="1" t="s">
        <v>27</v>
      </c>
      <c r="E118" s="1" t="s">
        <v>26</v>
      </c>
      <c r="F118" s="1">
        <v>42.0</v>
      </c>
      <c r="G118" s="1" t="s">
        <v>42</v>
      </c>
      <c r="H118" s="2" t="s">
        <v>30</v>
      </c>
      <c r="I118" s="2"/>
      <c r="J118" s="1" t="s">
        <v>31</v>
      </c>
      <c r="K118" s="1" t="s">
        <v>27</v>
      </c>
      <c r="L118" s="1"/>
      <c r="M118" s="1">
        <v>35.0</v>
      </c>
      <c r="N118" s="1">
        <v>0.0</v>
      </c>
      <c r="O118" s="1">
        <v>65.0</v>
      </c>
      <c r="P118" s="1" t="s">
        <v>32</v>
      </c>
      <c r="Q118" s="1">
        <v>10.0</v>
      </c>
      <c r="R118" s="4">
        <v>0.0</v>
      </c>
      <c r="S118" s="4">
        <v>0.884959</v>
      </c>
      <c r="T118" s="4">
        <v>0.884959</v>
      </c>
      <c r="U118" s="1" t="s">
        <v>27</v>
      </c>
      <c r="V118" s="1" t="s">
        <v>27</v>
      </c>
      <c r="W118" s="1" t="s">
        <v>27</v>
      </c>
      <c r="X118" s="1" t="s">
        <v>208</v>
      </c>
      <c r="Y118" s="3">
        <v>17.0</v>
      </c>
      <c r="Z118" s="3">
        <v>33.0</v>
      </c>
    </row>
    <row r="119">
      <c r="A119" s="3">
        <v>3.0</v>
      </c>
      <c r="B119" s="1" t="s">
        <v>28</v>
      </c>
      <c r="C119" s="1">
        <v>15.0</v>
      </c>
      <c r="D119" s="3" t="s">
        <v>51</v>
      </c>
      <c r="E119" s="1" t="s">
        <v>28</v>
      </c>
      <c r="F119" s="1">
        <v>23.0</v>
      </c>
      <c r="G119" s="3" t="s">
        <v>61</v>
      </c>
      <c r="H119" s="2" t="s">
        <v>36</v>
      </c>
      <c r="I119" s="2" t="s">
        <v>37</v>
      </c>
      <c r="J119" s="1" t="s">
        <v>38</v>
      </c>
      <c r="K119" s="1" t="s">
        <v>39</v>
      </c>
      <c r="L119" s="3">
        <v>10.0</v>
      </c>
      <c r="M119" s="1">
        <v>25.0</v>
      </c>
      <c r="N119" s="1">
        <v>28.0</v>
      </c>
      <c r="O119" s="1">
        <v>3.0</v>
      </c>
      <c r="P119" s="1" t="s">
        <v>54</v>
      </c>
      <c r="Q119" s="1">
        <v>7.0</v>
      </c>
      <c r="R119" s="4">
        <v>0.884959</v>
      </c>
      <c r="S119" s="4">
        <v>0.664532</v>
      </c>
      <c r="T119" s="4">
        <v>-0.22043</v>
      </c>
      <c r="U119" s="1">
        <v>97.0</v>
      </c>
      <c r="V119" s="1" t="s">
        <v>26</v>
      </c>
      <c r="W119" s="1" t="s">
        <v>123</v>
      </c>
      <c r="X119" s="1" t="s">
        <v>215</v>
      </c>
      <c r="Y119" s="3">
        <v>17.0</v>
      </c>
      <c r="Z119" s="3">
        <v>33.0</v>
      </c>
    </row>
    <row r="120">
      <c r="A120" s="3">
        <v>3.0</v>
      </c>
      <c r="B120" s="1" t="s">
        <v>28</v>
      </c>
      <c r="C120" s="1">
        <v>15.0</v>
      </c>
      <c r="D120" s="3" t="s">
        <v>51</v>
      </c>
      <c r="E120" s="1" t="s">
        <v>28</v>
      </c>
      <c r="F120" s="1">
        <v>4.0</v>
      </c>
      <c r="G120" s="3" t="s">
        <v>52</v>
      </c>
      <c r="H120" s="2" t="s">
        <v>36</v>
      </c>
      <c r="I120" s="2" t="s">
        <v>53</v>
      </c>
      <c r="J120" s="1" t="s">
        <v>117</v>
      </c>
      <c r="K120" s="1" t="s">
        <v>58</v>
      </c>
      <c r="L120" s="1">
        <v>7.0</v>
      </c>
      <c r="M120" s="1">
        <v>28.0</v>
      </c>
      <c r="N120" s="1">
        <v>28.0</v>
      </c>
      <c r="O120" s="1">
        <v>0.0</v>
      </c>
      <c r="P120" s="1" t="s">
        <v>64</v>
      </c>
      <c r="Q120" s="1">
        <v>7.0</v>
      </c>
      <c r="R120" s="4">
        <v>0.664532</v>
      </c>
      <c r="S120" s="4">
        <v>-0.17605</v>
      </c>
      <c r="T120" s="4">
        <v>-0.84058</v>
      </c>
      <c r="U120" s="1" t="s">
        <v>27</v>
      </c>
      <c r="V120" s="1" t="s">
        <v>27</v>
      </c>
      <c r="W120" s="1" t="s">
        <v>27</v>
      </c>
      <c r="X120" s="1" t="s">
        <v>127</v>
      </c>
      <c r="Y120" s="3">
        <v>17.0</v>
      </c>
      <c r="Z120" s="3">
        <v>33.0</v>
      </c>
    </row>
    <row r="121">
      <c r="A121" s="3">
        <v>3.0</v>
      </c>
      <c r="B121" s="1" t="s">
        <v>28</v>
      </c>
      <c r="C121" s="1">
        <v>15.0</v>
      </c>
      <c r="D121" s="3" t="s">
        <v>51</v>
      </c>
      <c r="E121" s="1" t="s">
        <v>28</v>
      </c>
      <c r="F121" s="1">
        <v>11.0</v>
      </c>
      <c r="G121" s="1" t="s">
        <v>110</v>
      </c>
      <c r="H121" s="2" t="s">
        <v>36</v>
      </c>
      <c r="I121" s="2" t="s">
        <v>53</v>
      </c>
      <c r="J121" s="1" t="s">
        <v>53</v>
      </c>
      <c r="K121" s="1" t="s">
        <v>69</v>
      </c>
      <c r="L121" s="1">
        <v>7.0</v>
      </c>
      <c r="M121" s="1">
        <v>28.0</v>
      </c>
      <c r="N121" s="1">
        <v>42.0</v>
      </c>
      <c r="O121" s="1">
        <v>14.0</v>
      </c>
      <c r="P121" s="1" t="s">
        <v>48</v>
      </c>
      <c r="Q121" s="1">
        <v>10.0</v>
      </c>
      <c r="R121" s="4">
        <v>-0.17605</v>
      </c>
      <c r="S121" s="4">
        <v>2.168501</v>
      </c>
      <c r="T121" s="4">
        <v>2.344553</v>
      </c>
      <c r="U121" s="1" t="s">
        <v>27</v>
      </c>
      <c r="V121" s="1" t="s">
        <v>27</v>
      </c>
      <c r="W121" s="1" t="s">
        <v>27</v>
      </c>
      <c r="X121" s="1" t="s">
        <v>216</v>
      </c>
      <c r="Y121" s="3">
        <v>17.0</v>
      </c>
      <c r="Z121" s="3">
        <v>33.0</v>
      </c>
    </row>
    <row r="122">
      <c r="A122" s="3">
        <v>3.0</v>
      </c>
      <c r="B122" s="1" t="s">
        <v>28</v>
      </c>
      <c r="C122" s="1">
        <v>15.0</v>
      </c>
      <c r="D122" s="3" t="s">
        <v>51</v>
      </c>
      <c r="E122" s="1" t="s">
        <v>28</v>
      </c>
      <c r="F122" s="1">
        <v>23.0</v>
      </c>
      <c r="G122" s="3" t="s">
        <v>61</v>
      </c>
      <c r="H122" s="2" t="s">
        <v>36</v>
      </c>
      <c r="I122" s="2" t="s">
        <v>53</v>
      </c>
      <c r="J122" s="1" t="s">
        <v>117</v>
      </c>
      <c r="K122" s="1" t="s">
        <v>39</v>
      </c>
      <c r="L122" s="3">
        <v>10.0</v>
      </c>
      <c r="M122" s="1">
        <v>42.0</v>
      </c>
      <c r="N122" s="1">
        <v>42.0</v>
      </c>
      <c r="O122" s="1">
        <v>0.0</v>
      </c>
      <c r="P122" s="1" t="s">
        <v>54</v>
      </c>
      <c r="Q122" s="1">
        <v>10.0</v>
      </c>
      <c r="R122" s="4">
        <v>2.168501</v>
      </c>
      <c r="S122" s="4">
        <v>1.571283</v>
      </c>
      <c r="T122" s="4">
        <v>-0.59722</v>
      </c>
      <c r="U122" s="1" t="s">
        <v>27</v>
      </c>
      <c r="V122" s="1" t="s">
        <v>27</v>
      </c>
      <c r="W122" s="1" t="s">
        <v>27</v>
      </c>
      <c r="X122" s="1" t="s">
        <v>217</v>
      </c>
      <c r="Y122" s="3">
        <v>17.0</v>
      </c>
      <c r="Z122" s="3">
        <v>33.0</v>
      </c>
    </row>
    <row r="123">
      <c r="A123" s="3">
        <v>3.0</v>
      </c>
      <c r="B123" s="1" t="s">
        <v>28</v>
      </c>
      <c r="C123" s="1">
        <v>15.0</v>
      </c>
      <c r="D123" s="3" t="s">
        <v>51</v>
      </c>
      <c r="E123" s="1" t="s">
        <v>28</v>
      </c>
      <c r="F123" s="1">
        <v>15.0</v>
      </c>
      <c r="G123" s="3" t="s">
        <v>51</v>
      </c>
      <c r="H123" s="2" t="s">
        <v>36</v>
      </c>
      <c r="I123" s="2" t="s">
        <v>37</v>
      </c>
      <c r="J123" s="1" t="s">
        <v>38</v>
      </c>
      <c r="K123" s="1" t="s">
        <v>58</v>
      </c>
      <c r="L123" s="1">
        <v>10.0</v>
      </c>
      <c r="M123" s="1">
        <v>42.0</v>
      </c>
      <c r="N123" s="1">
        <v>-44.0</v>
      </c>
      <c r="O123" s="1">
        <v>14.0</v>
      </c>
      <c r="P123" s="1" t="s">
        <v>48</v>
      </c>
      <c r="Q123" s="1">
        <v>10.0</v>
      </c>
      <c r="R123" s="4">
        <v>1.571283</v>
      </c>
      <c r="S123" s="4">
        <v>3.005933</v>
      </c>
      <c r="T123" s="4">
        <v>1.434651</v>
      </c>
      <c r="U123" s="1" t="s">
        <v>27</v>
      </c>
      <c r="V123" s="1" t="s">
        <v>27</v>
      </c>
      <c r="W123" s="1" t="s">
        <v>27</v>
      </c>
      <c r="X123" s="1" t="s">
        <v>218</v>
      </c>
      <c r="Y123" s="3">
        <v>17.0</v>
      </c>
      <c r="Z123" s="3">
        <v>33.0</v>
      </c>
    </row>
    <row r="124">
      <c r="A124" s="3">
        <v>3.0</v>
      </c>
      <c r="B124" s="1" t="s">
        <v>28</v>
      </c>
      <c r="C124" s="1">
        <v>15.0</v>
      </c>
      <c r="D124" s="3" t="s">
        <v>51</v>
      </c>
      <c r="E124" s="1" t="s">
        <v>28</v>
      </c>
      <c r="F124" s="1">
        <v>83.0</v>
      </c>
      <c r="G124" s="1" t="s">
        <v>171</v>
      </c>
      <c r="H124" s="2" t="s">
        <v>36</v>
      </c>
      <c r="I124" s="2" t="s">
        <v>53</v>
      </c>
      <c r="J124" s="1" t="s">
        <v>53</v>
      </c>
      <c r="K124" s="1" t="s">
        <v>39</v>
      </c>
      <c r="L124" s="3">
        <v>10.0</v>
      </c>
      <c r="M124" s="1">
        <v>-44.0</v>
      </c>
      <c r="N124" s="1">
        <v>-39.0</v>
      </c>
      <c r="O124" s="1">
        <v>5.0</v>
      </c>
      <c r="P124" s="1" t="s">
        <v>54</v>
      </c>
      <c r="Q124" s="1">
        <v>5.0</v>
      </c>
      <c r="R124" s="4">
        <v>3.005933</v>
      </c>
      <c r="S124" s="4">
        <v>3.128795</v>
      </c>
      <c r="T124" s="4">
        <v>0.122861</v>
      </c>
      <c r="U124" s="1">
        <v>2.0</v>
      </c>
      <c r="V124" s="1" t="s">
        <v>26</v>
      </c>
      <c r="W124" s="1" t="s">
        <v>62</v>
      </c>
      <c r="X124" s="1" t="s">
        <v>219</v>
      </c>
      <c r="Y124" s="3">
        <v>17.0</v>
      </c>
      <c r="Z124" s="3">
        <v>33.0</v>
      </c>
    </row>
    <row r="125">
      <c r="A125" s="3">
        <v>4.0</v>
      </c>
      <c r="B125" s="1" t="s">
        <v>28</v>
      </c>
      <c r="C125" s="1" t="s">
        <v>27</v>
      </c>
      <c r="D125" s="1" t="s">
        <v>27</v>
      </c>
      <c r="E125" s="1" t="s">
        <v>28</v>
      </c>
      <c r="F125" s="1" t="s">
        <v>27</v>
      </c>
      <c r="G125" s="1" t="s">
        <v>27</v>
      </c>
      <c r="H125" s="2" t="s">
        <v>36</v>
      </c>
      <c r="I125" s="2"/>
      <c r="J125" s="1" t="s">
        <v>106</v>
      </c>
      <c r="K125" s="1" t="s">
        <v>58</v>
      </c>
      <c r="L125" s="1">
        <v>5.0</v>
      </c>
      <c r="M125" s="1">
        <v>-39.0</v>
      </c>
      <c r="N125" s="1">
        <v>-49.0</v>
      </c>
      <c r="O125" s="1">
        <v>-10.0</v>
      </c>
      <c r="P125" s="1" t="s">
        <v>54</v>
      </c>
      <c r="Q125" s="1">
        <v>15.0</v>
      </c>
      <c r="R125" s="4">
        <v>3.128795</v>
      </c>
      <c r="S125" s="4">
        <v>2.214382</v>
      </c>
      <c r="T125" s="4">
        <v>-0.91441</v>
      </c>
      <c r="U125" s="1" t="s">
        <v>27</v>
      </c>
      <c r="V125" s="1" t="s">
        <v>27</v>
      </c>
      <c r="W125" s="1" t="s">
        <v>27</v>
      </c>
      <c r="X125" s="1" t="s">
        <v>121</v>
      </c>
      <c r="Y125" s="3">
        <v>17.0</v>
      </c>
      <c r="Z125" s="3">
        <v>33.0</v>
      </c>
    </row>
    <row r="126">
      <c r="A126" s="3">
        <v>4.0</v>
      </c>
      <c r="B126" s="1" t="s">
        <v>28</v>
      </c>
      <c r="C126" s="1">
        <v>15.0</v>
      </c>
      <c r="D126" s="3" t="s">
        <v>51</v>
      </c>
      <c r="E126" s="1" t="s">
        <v>28</v>
      </c>
      <c r="F126" s="1">
        <v>11.0</v>
      </c>
      <c r="G126" s="1" t="s">
        <v>110</v>
      </c>
      <c r="H126" s="2" t="s">
        <v>36</v>
      </c>
      <c r="I126" s="2" t="s">
        <v>53</v>
      </c>
      <c r="J126" s="1" t="s">
        <v>53</v>
      </c>
      <c r="K126" s="1" t="s">
        <v>58</v>
      </c>
      <c r="L126" s="1">
        <v>15.0</v>
      </c>
      <c r="M126" s="1">
        <v>-49.0</v>
      </c>
      <c r="N126" s="1">
        <v>0.0</v>
      </c>
      <c r="O126" s="1">
        <v>49.0</v>
      </c>
      <c r="P126" s="1" t="s">
        <v>40</v>
      </c>
      <c r="Q126" s="1"/>
      <c r="R126" s="4">
        <v>2.214382</v>
      </c>
      <c r="S126" s="4">
        <v>7.0</v>
      </c>
      <c r="T126" s="4">
        <v>4.785618</v>
      </c>
      <c r="U126" s="1" t="s">
        <v>27</v>
      </c>
      <c r="V126" s="1" t="s">
        <v>27</v>
      </c>
      <c r="W126" s="1" t="s">
        <v>27</v>
      </c>
      <c r="X126" s="1" t="s">
        <v>220</v>
      </c>
      <c r="Y126" s="3">
        <v>23.0</v>
      </c>
      <c r="Z126" s="3">
        <v>33.0</v>
      </c>
    </row>
    <row r="127">
      <c r="A127" s="3">
        <v>4.0</v>
      </c>
      <c r="B127" s="1" t="s">
        <v>28</v>
      </c>
      <c r="C127" s="1">
        <v>15.0</v>
      </c>
      <c r="D127" s="3" t="s">
        <v>51</v>
      </c>
      <c r="E127" s="1" t="s">
        <v>28</v>
      </c>
      <c r="F127" s="1">
        <v>4.0</v>
      </c>
      <c r="G127" s="3" t="s">
        <v>52</v>
      </c>
      <c r="H127" s="2" t="s">
        <v>30</v>
      </c>
      <c r="I127" s="2"/>
      <c r="J127" s="1" t="s">
        <v>221</v>
      </c>
      <c r="K127" s="1" t="s">
        <v>27</v>
      </c>
      <c r="L127" s="1"/>
      <c r="M127" s="1">
        <v>-3.0</v>
      </c>
      <c r="N127" s="1">
        <v>0.0</v>
      </c>
      <c r="O127" s="1">
        <v>3.0</v>
      </c>
      <c r="P127" s="1" t="s">
        <v>222</v>
      </c>
      <c r="Q127" s="1"/>
      <c r="R127" s="5"/>
      <c r="S127" s="5"/>
      <c r="T127" s="4">
        <v>0.0</v>
      </c>
      <c r="U127" s="1" t="s">
        <v>27</v>
      </c>
      <c r="V127" s="1" t="s">
        <v>27</v>
      </c>
      <c r="W127" s="1" t="s">
        <v>27</v>
      </c>
      <c r="X127" s="1" t="s">
        <v>222</v>
      </c>
      <c r="Y127" s="3">
        <v>23.0</v>
      </c>
      <c r="Z127" s="3">
        <v>33.0</v>
      </c>
    </row>
    <row r="128">
      <c r="A128" s="3">
        <v>4.0</v>
      </c>
      <c r="B128" s="1" t="s">
        <v>26</v>
      </c>
      <c r="C128" s="1" t="s">
        <v>27</v>
      </c>
      <c r="D128" s="1" t="s">
        <v>27</v>
      </c>
      <c r="E128" s="1" t="s">
        <v>26</v>
      </c>
      <c r="F128" s="1">
        <v>20.0</v>
      </c>
      <c r="G128" s="1" t="s">
        <v>148</v>
      </c>
      <c r="H128" s="2" t="s">
        <v>30</v>
      </c>
      <c r="I128" s="2"/>
      <c r="J128" s="1" t="s">
        <v>47</v>
      </c>
      <c r="K128" s="1" t="s">
        <v>27</v>
      </c>
      <c r="L128" s="1"/>
      <c r="M128" s="1">
        <v>5.0</v>
      </c>
      <c r="N128" s="1">
        <v>22.0</v>
      </c>
      <c r="O128" s="1">
        <v>17.0</v>
      </c>
      <c r="P128" s="1" t="s">
        <v>48</v>
      </c>
      <c r="Q128" s="1">
        <v>10.0</v>
      </c>
      <c r="R128" s="4">
        <v>0.0</v>
      </c>
      <c r="S128" s="4">
        <v>0.649215</v>
      </c>
      <c r="T128" s="4">
        <v>0.649215</v>
      </c>
      <c r="U128" s="1">
        <v>46.0</v>
      </c>
      <c r="V128" s="1" t="s">
        <v>28</v>
      </c>
      <c r="W128" s="1" t="s">
        <v>27</v>
      </c>
      <c r="X128" s="1" t="s">
        <v>223</v>
      </c>
      <c r="Y128" s="3">
        <v>23.0</v>
      </c>
      <c r="Z128" s="3">
        <v>33.0</v>
      </c>
    </row>
    <row r="129">
      <c r="A129" s="3">
        <v>4.0</v>
      </c>
      <c r="B129" s="1" t="s">
        <v>26</v>
      </c>
      <c r="C129" s="1">
        <v>10.0</v>
      </c>
      <c r="D129" s="3" t="s">
        <v>34</v>
      </c>
      <c r="E129" s="1" t="s">
        <v>26</v>
      </c>
      <c r="F129" s="1">
        <v>10.0</v>
      </c>
      <c r="G129" s="3" t="s">
        <v>34</v>
      </c>
      <c r="H129" s="2" t="s">
        <v>36</v>
      </c>
      <c r="I129" s="2" t="s">
        <v>37</v>
      </c>
      <c r="J129" s="1" t="s">
        <v>38</v>
      </c>
      <c r="K129" s="1" t="s">
        <v>39</v>
      </c>
      <c r="L129" s="3">
        <v>10.0</v>
      </c>
      <c r="M129" s="1">
        <v>22.0</v>
      </c>
      <c r="N129" s="1">
        <v>23.0</v>
      </c>
      <c r="O129" s="1">
        <v>1.0</v>
      </c>
      <c r="P129" s="1" t="s">
        <v>54</v>
      </c>
      <c r="Q129" s="1">
        <v>9.0</v>
      </c>
      <c r="R129" s="4">
        <v>0.649215</v>
      </c>
      <c r="S129" s="4">
        <v>0.124076</v>
      </c>
      <c r="T129" s="4">
        <v>-0.52514</v>
      </c>
      <c r="U129" s="1">
        <v>29.0</v>
      </c>
      <c r="V129" s="1" t="s">
        <v>28</v>
      </c>
      <c r="W129" s="1" t="s">
        <v>80</v>
      </c>
      <c r="X129" s="1" t="s">
        <v>224</v>
      </c>
      <c r="Y129" s="3">
        <v>23.0</v>
      </c>
      <c r="Z129" s="3">
        <v>33.0</v>
      </c>
    </row>
    <row r="130">
      <c r="A130" s="3">
        <v>4.0</v>
      </c>
      <c r="B130" s="1" t="s">
        <v>26</v>
      </c>
      <c r="C130" s="1">
        <v>10.0</v>
      </c>
      <c r="D130" s="3" t="s">
        <v>34</v>
      </c>
      <c r="E130" s="1" t="s">
        <v>26</v>
      </c>
      <c r="F130" s="1">
        <v>31.0</v>
      </c>
      <c r="G130" s="3" t="s">
        <v>35</v>
      </c>
      <c r="H130" s="2" t="s">
        <v>36</v>
      </c>
      <c r="I130" s="2" t="s">
        <v>37</v>
      </c>
      <c r="J130" s="1" t="s">
        <v>38</v>
      </c>
      <c r="K130" s="1" t="s">
        <v>58</v>
      </c>
      <c r="L130" s="1">
        <v>9.0</v>
      </c>
      <c r="M130" s="1">
        <v>23.0</v>
      </c>
      <c r="N130" s="1">
        <v>34.0</v>
      </c>
      <c r="O130" s="1">
        <v>11.0</v>
      </c>
      <c r="P130" s="1" t="s">
        <v>48</v>
      </c>
      <c r="Q130" s="1">
        <v>10.0</v>
      </c>
      <c r="R130" s="4">
        <v>0.124076</v>
      </c>
      <c r="S130" s="4">
        <v>1.61706</v>
      </c>
      <c r="T130" s="4">
        <v>1.492984</v>
      </c>
      <c r="U130" s="1">
        <v>27.0</v>
      </c>
      <c r="V130" s="1" t="s">
        <v>28</v>
      </c>
      <c r="W130" s="1" t="s">
        <v>89</v>
      </c>
      <c r="X130" s="1" t="s">
        <v>225</v>
      </c>
      <c r="Y130" s="3">
        <v>23.0</v>
      </c>
      <c r="Z130" s="3">
        <v>33.0</v>
      </c>
    </row>
    <row r="131">
      <c r="A131" s="3">
        <v>4.0</v>
      </c>
      <c r="B131" s="1" t="s">
        <v>26</v>
      </c>
      <c r="C131" s="1">
        <v>10.0</v>
      </c>
      <c r="D131" s="3" t="s">
        <v>34</v>
      </c>
      <c r="E131" s="1" t="s">
        <v>26</v>
      </c>
      <c r="F131" s="1">
        <v>10.0</v>
      </c>
      <c r="G131" s="3" t="s">
        <v>34</v>
      </c>
      <c r="H131" s="2" t="s">
        <v>36</v>
      </c>
      <c r="I131" s="2" t="s">
        <v>37</v>
      </c>
      <c r="J131" s="1" t="s">
        <v>38</v>
      </c>
      <c r="K131" s="1" t="s">
        <v>39</v>
      </c>
      <c r="L131" s="3">
        <v>10.0</v>
      </c>
      <c r="M131" s="1">
        <v>34.0</v>
      </c>
      <c r="N131" s="1">
        <v>37.0</v>
      </c>
      <c r="O131" s="1">
        <v>3.0</v>
      </c>
      <c r="P131" s="1" t="s">
        <v>54</v>
      </c>
      <c r="Q131" s="1">
        <v>7.0</v>
      </c>
      <c r="R131" s="4">
        <v>1.61706</v>
      </c>
      <c r="S131" s="4">
        <v>1.45628</v>
      </c>
      <c r="T131" s="4">
        <v>-0.16078</v>
      </c>
      <c r="U131" s="1">
        <v>10.0</v>
      </c>
      <c r="V131" s="1" t="s">
        <v>28</v>
      </c>
      <c r="W131" s="1" t="s">
        <v>114</v>
      </c>
      <c r="X131" s="1" t="s">
        <v>226</v>
      </c>
      <c r="Y131" s="3">
        <v>23.0</v>
      </c>
      <c r="Z131" s="3">
        <v>33.0</v>
      </c>
    </row>
    <row r="132">
      <c r="A132" s="3">
        <v>4.0</v>
      </c>
      <c r="B132" s="1" t="s">
        <v>26</v>
      </c>
      <c r="C132" s="1">
        <v>31.0</v>
      </c>
      <c r="D132" s="1" t="s">
        <v>137</v>
      </c>
      <c r="E132" s="1" t="s">
        <v>26</v>
      </c>
      <c r="F132" s="1">
        <v>31.0</v>
      </c>
      <c r="G132" s="3" t="s">
        <v>35</v>
      </c>
      <c r="H132" s="2" t="s">
        <v>36</v>
      </c>
      <c r="I132" s="2" t="s">
        <v>37</v>
      </c>
      <c r="J132" s="1" t="s">
        <v>38</v>
      </c>
      <c r="K132" s="1" t="s">
        <v>58</v>
      </c>
      <c r="L132" s="1">
        <v>7.0</v>
      </c>
      <c r="M132" s="1">
        <v>37.0</v>
      </c>
      <c r="N132" s="1">
        <v>48.0</v>
      </c>
      <c r="O132" s="1">
        <v>11.0</v>
      </c>
      <c r="P132" s="1" t="s">
        <v>48</v>
      </c>
      <c r="Q132" s="1">
        <v>10.0</v>
      </c>
      <c r="R132" s="4">
        <v>1.45628</v>
      </c>
      <c r="S132" s="4">
        <v>2.59181</v>
      </c>
      <c r="T132" s="4">
        <v>1.13553</v>
      </c>
      <c r="U132" s="1">
        <v>6.0</v>
      </c>
      <c r="V132" s="1" t="s">
        <v>28</v>
      </c>
      <c r="W132" s="1" t="s">
        <v>227</v>
      </c>
      <c r="X132" s="1" t="s">
        <v>225</v>
      </c>
      <c r="Y132" s="3">
        <v>23.0</v>
      </c>
      <c r="Z132" s="3">
        <v>33.0</v>
      </c>
    </row>
    <row r="133">
      <c r="A133" s="3">
        <v>4.0</v>
      </c>
      <c r="B133" s="1" t="s">
        <v>26</v>
      </c>
      <c r="C133" s="1">
        <v>10.0</v>
      </c>
      <c r="D133" s="3" t="s">
        <v>34</v>
      </c>
      <c r="E133" s="1" t="s">
        <v>26</v>
      </c>
      <c r="F133" s="1">
        <v>20.0</v>
      </c>
      <c r="G133" s="1" t="s">
        <v>148</v>
      </c>
      <c r="H133" s="2" t="s">
        <v>36</v>
      </c>
      <c r="I133" s="2" t="s">
        <v>37</v>
      </c>
      <c r="J133" s="1" t="s">
        <v>38</v>
      </c>
      <c r="K133" s="1" t="s">
        <v>39</v>
      </c>
      <c r="L133" s="3">
        <v>10.0</v>
      </c>
      <c r="M133" s="1">
        <v>48.0</v>
      </c>
      <c r="N133" s="1">
        <v>-49.0</v>
      </c>
      <c r="O133" s="1">
        <v>3.0</v>
      </c>
      <c r="P133" s="1" t="s">
        <v>54</v>
      </c>
      <c r="Q133" s="1">
        <v>7.0</v>
      </c>
      <c r="R133" s="4">
        <v>2.59181</v>
      </c>
      <c r="S133" s="4">
        <v>2.438993</v>
      </c>
      <c r="T133" s="4">
        <v>-0.15282</v>
      </c>
      <c r="U133" s="1">
        <v>66.0</v>
      </c>
      <c r="V133" s="1" t="s">
        <v>28</v>
      </c>
      <c r="W133" s="1" t="s">
        <v>27</v>
      </c>
      <c r="X133" s="1" t="s">
        <v>228</v>
      </c>
      <c r="Y133" s="3">
        <v>23.0</v>
      </c>
      <c r="Z133" s="3">
        <v>33.0</v>
      </c>
    </row>
    <row r="134">
      <c r="A134" s="3">
        <v>4.0</v>
      </c>
      <c r="B134" s="1" t="s">
        <v>26</v>
      </c>
      <c r="C134" s="1">
        <v>10.0</v>
      </c>
      <c r="D134" s="3" t="s">
        <v>34</v>
      </c>
      <c r="E134" s="1" t="s">
        <v>26</v>
      </c>
      <c r="F134" s="1">
        <v>26.0</v>
      </c>
      <c r="G134" s="1" t="s">
        <v>229</v>
      </c>
      <c r="H134" s="2" t="s">
        <v>36</v>
      </c>
      <c r="I134" s="2" t="s">
        <v>37</v>
      </c>
      <c r="J134" s="1" t="s">
        <v>38</v>
      </c>
      <c r="K134" s="1" t="s">
        <v>58</v>
      </c>
      <c r="L134" s="1">
        <v>7.0</v>
      </c>
      <c r="M134" s="1">
        <v>-49.0</v>
      </c>
      <c r="N134" s="1">
        <v>-44.0</v>
      </c>
      <c r="O134" s="1">
        <v>5.0</v>
      </c>
      <c r="P134" s="1" t="s">
        <v>64</v>
      </c>
      <c r="Q134" s="1">
        <v>2.0</v>
      </c>
      <c r="R134" s="4">
        <v>2.438993</v>
      </c>
      <c r="S134" s="4">
        <v>2.548495</v>
      </c>
      <c r="T134" s="4">
        <v>0.109502</v>
      </c>
      <c r="U134" s="1">
        <v>2.0</v>
      </c>
      <c r="V134" s="1" t="s">
        <v>28</v>
      </c>
      <c r="W134" s="1" t="s">
        <v>86</v>
      </c>
      <c r="X134" s="1" t="s">
        <v>230</v>
      </c>
      <c r="Y134" s="3">
        <v>23.0</v>
      </c>
      <c r="Z134" s="3">
        <v>33.0</v>
      </c>
    </row>
    <row r="135">
      <c r="A135" s="3">
        <v>4.0</v>
      </c>
      <c r="B135" s="1" t="s">
        <v>26</v>
      </c>
      <c r="C135" s="1" t="s">
        <v>27</v>
      </c>
      <c r="D135" s="1" t="s">
        <v>27</v>
      </c>
      <c r="E135" s="1" t="s">
        <v>26</v>
      </c>
      <c r="F135" s="1" t="s">
        <v>27</v>
      </c>
      <c r="G135" s="1" t="s">
        <v>27</v>
      </c>
      <c r="H135" s="2" t="s">
        <v>36</v>
      </c>
      <c r="I135" s="2"/>
      <c r="J135" s="1" t="s">
        <v>106</v>
      </c>
      <c r="K135" s="1" t="s">
        <v>69</v>
      </c>
      <c r="L135" s="1">
        <v>2.0</v>
      </c>
      <c r="M135" s="1">
        <v>-44.0</v>
      </c>
      <c r="N135" s="1">
        <v>-49.0</v>
      </c>
      <c r="O135" s="1">
        <v>-5.0</v>
      </c>
      <c r="P135" s="1" t="s">
        <v>64</v>
      </c>
      <c r="Q135" s="1">
        <v>7.0</v>
      </c>
      <c r="R135" s="4">
        <v>2.548495</v>
      </c>
      <c r="S135" s="4">
        <v>1.68375</v>
      </c>
      <c r="T135" s="4">
        <v>-0.86474</v>
      </c>
      <c r="U135" s="1" t="s">
        <v>27</v>
      </c>
      <c r="V135" s="1" t="s">
        <v>27</v>
      </c>
      <c r="W135" s="1" t="s">
        <v>27</v>
      </c>
      <c r="X135" s="1" t="s">
        <v>107</v>
      </c>
      <c r="Y135" s="3">
        <v>23.0</v>
      </c>
      <c r="Z135" s="3">
        <v>33.0</v>
      </c>
    </row>
    <row r="136">
      <c r="A136" s="3">
        <v>4.0</v>
      </c>
      <c r="B136" s="1" t="s">
        <v>26</v>
      </c>
      <c r="C136" s="1">
        <v>10.0</v>
      </c>
      <c r="D136" s="3" t="s">
        <v>34</v>
      </c>
      <c r="E136" s="1" t="s">
        <v>28</v>
      </c>
      <c r="F136" s="1">
        <v>7.0</v>
      </c>
      <c r="G136" s="1" t="s">
        <v>231</v>
      </c>
      <c r="H136" s="2" t="s">
        <v>36</v>
      </c>
      <c r="I136" s="2" t="s">
        <v>53</v>
      </c>
      <c r="J136" s="1" t="s">
        <v>68</v>
      </c>
      <c r="K136" s="1" t="s">
        <v>69</v>
      </c>
      <c r="L136" s="1">
        <v>7.0</v>
      </c>
      <c r="M136" s="1">
        <v>-49.0</v>
      </c>
      <c r="N136" s="1">
        <v>49.0</v>
      </c>
      <c r="O136" s="1">
        <v>-2.0</v>
      </c>
      <c r="P136" s="1" t="s">
        <v>70</v>
      </c>
      <c r="Q136" s="1">
        <v>9.0</v>
      </c>
      <c r="R136" s="4">
        <v>1.68375</v>
      </c>
      <c r="S136" s="4">
        <v>-0.00828</v>
      </c>
      <c r="T136" s="4">
        <v>-1.69203</v>
      </c>
      <c r="U136" s="1" t="s">
        <v>27</v>
      </c>
      <c r="V136" s="1" t="s">
        <v>27</v>
      </c>
      <c r="W136" s="1" t="s">
        <v>27</v>
      </c>
      <c r="X136" s="1" t="s">
        <v>232</v>
      </c>
      <c r="Y136" s="3">
        <v>23.0</v>
      </c>
      <c r="Z136" s="3">
        <v>33.0</v>
      </c>
    </row>
    <row r="137">
      <c r="A137" s="3">
        <v>4.0</v>
      </c>
      <c r="B137" s="1" t="s">
        <v>26</v>
      </c>
      <c r="C137" s="1">
        <v>8.0</v>
      </c>
      <c r="D137" s="1" t="s">
        <v>233</v>
      </c>
      <c r="E137" s="1" t="s">
        <v>26</v>
      </c>
      <c r="F137" s="1">
        <v>8.0</v>
      </c>
      <c r="G137" s="3" t="s">
        <v>119</v>
      </c>
      <c r="H137" s="2" t="s">
        <v>36</v>
      </c>
      <c r="I137" s="2" t="s">
        <v>37</v>
      </c>
      <c r="J137" s="1" t="s">
        <v>38</v>
      </c>
      <c r="K137" s="1" t="s">
        <v>74</v>
      </c>
      <c r="L137" s="1">
        <v>9.0</v>
      </c>
      <c r="M137" s="1">
        <v>49.0</v>
      </c>
      <c r="N137" s="1">
        <v>-45.0</v>
      </c>
      <c r="O137" s="1">
        <v>6.0</v>
      </c>
      <c r="P137" s="1" t="s">
        <v>194</v>
      </c>
      <c r="Q137" s="1">
        <v>10.0</v>
      </c>
      <c r="R137" s="4">
        <v>-0.00828</v>
      </c>
      <c r="S137" s="4">
        <v>-2.387414</v>
      </c>
      <c r="T137" s="4">
        <v>-2.379134</v>
      </c>
      <c r="U137" s="1">
        <v>48.0</v>
      </c>
      <c r="V137" s="1" t="s">
        <v>28</v>
      </c>
      <c r="W137" s="1" t="s">
        <v>234</v>
      </c>
      <c r="X137" s="1" t="s">
        <v>235</v>
      </c>
      <c r="Y137" s="3">
        <v>23.0</v>
      </c>
      <c r="Z137" s="3">
        <v>33.0</v>
      </c>
    </row>
    <row r="138">
      <c r="A138" s="3">
        <v>4.0</v>
      </c>
      <c r="B138" s="1" t="s">
        <v>28</v>
      </c>
      <c r="C138" s="1" t="s">
        <v>27</v>
      </c>
      <c r="D138" s="1" t="s">
        <v>27</v>
      </c>
      <c r="E138" s="1" t="s">
        <v>28</v>
      </c>
      <c r="F138" s="1" t="s">
        <v>27</v>
      </c>
      <c r="G138" s="1" t="s">
        <v>27</v>
      </c>
      <c r="H138" s="2" t="s">
        <v>36</v>
      </c>
      <c r="I138" s="2"/>
      <c r="J138" s="1" t="s">
        <v>106</v>
      </c>
      <c r="K138" s="1" t="s">
        <v>39</v>
      </c>
      <c r="L138" s="3">
        <v>10.0</v>
      </c>
      <c r="M138" s="1">
        <v>45.0</v>
      </c>
      <c r="N138" s="1">
        <v>40.0</v>
      </c>
      <c r="O138" s="1">
        <v>-5.0</v>
      </c>
      <c r="P138" s="1" t="s">
        <v>48</v>
      </c>
      <c r="Q138" s="1">
        <v>15.0</v>
      </c>
      <c r="R138" s="4">
        <v>2.387414</v>
      </c>
      <c r="S138" s="4">
        <v>1.889241</v>
      </c>
      <c r="T138" s="4">
        <v>-0.49817</v>
      </c>
      <c r="U138" s="1" t="s">
        <v>27</v>
      </c>
      <c r="V138" s="1" t="s">
        <v>27</v>
      </c>
      <c r="W138" s="1" t="s">
        <v>27</v>
      </c>
      <c r="X138" s="1" t="s">
        <v>107</v>
      </c>
      <c r="Y138" s="3">
        <v>23.0</v>
      </c>
      <c r="Z138" s="3">
        <v>33.0</v>
      </c>
    </row>
    <row r="139">
      <c r="A139" s="3">
        <v>4.0</v>
      </c>
      <c r="B139" s="1" t="s">
        <v>28</v>
      </c>
      <c r="C139" s="1" t="s">
        <v>27</v>
      </c>
      <c r="D139" s="1" t="s">
        <v>27</v>
      </c>
      <c r="E139" s="1" t="s">
        <v>28</v>
      </c>
      <c r="F139" s="1" t="s">
        <v>27</v>
      </c>
      <c r="G139" s="1" t="s">
        <v>27</v>
      </c>
      <c r="H139" s="2" t="s">
        <v>36</v>
      </c>
      <c r="I139" s="2"/>
      <c r="J139" s="1" t="s">
        <v>106</v>
      </c>
      <c r="K139" s="1" t="s">
        <v>39</v>
      </c>
      <c r="L139" s="1">
        <v>15.0</v>
      </c>
      <c r="M139" s="1">
        <v>40.0</v>
      </c>
      <c r="N139" s="1">
        <v>35.0</v>
      </c>
      <c r="O139" s="1">
        <v>-5.0</v>
      </c>
      <c r="P139" s="1" t="s">
        <v>48</v>
      </c>
      <c r="Q139" s="1">
        <v>20.0</v>
      </c>
      <c r="R139" s="4">
        <v>1.889241</v>
      </c>
      <c r="S139" s="4">
        <v>1.413456</v>
      </c>
      <c r="T139" s="4">
        <v>-0.47578</v>
      </c>
      <c r="U139" s="1" t="s">
        <v>27</v>
      </c>
      <c r="V139" s="1" t="s">
        <v>27</v>
      </c>
      <c r="W139" s="1" t="s">
        <v>27</v>
      </c>
      <c r="X139" s="1" t="s">
        <v>107</v>
      </c>
      <c r="Y139" s="3">
        <v>23.0</v>
      </c>
      <c r="Z139" s="3">
        <v>33.0</v>
      </c>
    </row>
    <row r="140">
      <c r="A140" s="3">
        <v>4.0</v>
      </c>
      <c r="B140" s="1" t="s">
        <v>28</v>
      </c>
      <c r="C140" s="1">
        <v>15.0</v>
      </c>
      <c r="D140" s="3" t="s">
        <v>51</v>
      </c>
      <c r="E140" s="1" t="s">
        <v>28</v>
      </c>
      <c r="F140" s="1">
        <v>4.0</v>
      </c>
      <c r="G140" s="3" t="s">
        <v>52</v>
      </c>
      <c r="H140" s="2" t="s">
        <v>36</v>
      </c>
      <c r="I140" s="2" t="s">
        <v>53</v>
      </c>
      <c r="J140" s="1" t="s">
        <v>117</v>
      </c>
      <c r="K140" s="1" t="s">
        <v>39</v>
      </c>
      <c r="L140" s="1">
        <v>20.0</v>
      </c>
      <c r="M140" s="1">
        <v>35.0</v>
      </c>
      <c r="N140" s="1">
        <v>35.0</v>
      </c>
      <c r="O140" s="1">
        <v>0.0</v>
      </c>
      <c r="P140" s="1" t="s">
        <v>54</v>
      </c>
      <c r="Q140" s="1">
        <v>20.0</v>
      </c>
      <c r="R140" s="4">
        <v>1.413456</v>
      </c>
      <c r="S140" s="4">
        <v>0.799963</v>
      </c>
      <c r="T140" s="4">
        <v>-0.61349</v>
      </c>
      <c r="U140" s="1" t="s">
        <v>27</v>
      </c>
      <c r="V140" s="1" t="s">
        <v>27</v>
      </c>
      <c r="W140" s="1" t="s">
        <v>27</v>
      </c>
      <c r="X140" s="1" t="s">
        <v>127</v>
      </c>
      <c r="Y140" s="3">
        <v>23.0</v>
      </c>
      <c r="Z140" s="3">
        <v>33.0</v>
      </c>
    </row>
    <row r="141">
      <c r="A141" s="3">
        <v>4.0</v>
      </c>
      <c r="B141" s="1" t="s">
        <v>28</v>
      </c>
      <c r="C141" s="1">
        <v>15.0</v>
      </c>
      <c r="D141" s="3" t="s">
        <v>51</v>
      </c>
      <c r="E141" s="1" t="s">
        <v>28</v>
      </c>
      <c r="F141" s="1">
        <v>15.0</v>
      </c>
      <c r="G141" s="3" t="s">
        <v>51</v>
      </c>
      <c r="H141" s="2" t="s">
        <v>36</v>
      </c>
      <c r="I141" s="2" t="s">
        <v>37</v>
      </c>
      <c r="J141" s="1" t="s">
        <v>38</v>
      </c>
      <c r="K141" s="1" t="s">
        <v>58</v>
      </c>
      <c r="L141" s="1">
        <v>20.0</v>
      </c>
      <c r="M141" s="1">
        <v>35.0</v>
      </c>
      <c r="N141" s="1">
        <v>47.0</v>
      </c>
      <c r="O141" s="1">
        <v>12.0</v>
      </c>
      <c r="P141" s="1" t="s">
        <v>64</v>
      </c>
      <c r="Q141" s="1">
        <v>8.0</v>
      </c>
      <c r="R141" s="4">
        <v>0.799963</v>
      </c>
      <c r="S141" s="4">
        <v>1.345909</v>
      </c>
      <c r="T141" s="4">
        <v>0.545945</v>
      </c>
      <c r="U141" s="1">
        <v>43.0</v>
      </c>
      <c r="V141" s="1" t="s">
        <v>26</v>
      </c>
      <c r="W141" s="1" t="s">
        <v>236</v>
      </c>
      <c r="X141" s="1" t="s">
        <v>237</v>
      </c>
      <c r="Y141" s="3">
        <v>23.0</v>
      </c>
      <c r="Z141" s="3">
        <v>33.0</v>
      </c>
    </row>
    <row r="142">
      <c r="A142" s="3">
        <v>4.0</v>
      </c>
      <c r="B142" s="1" t="s">
        <v>28</v>
      </c>
      <c r="C142" s="1">
        <v>15.0</v>
      </c>
      <c r="D142" s="3" t="s">
        <v>51</v>
      </c>
      <c r="E142" s="1" t="s">
        <v>26</v>
      </c>
      <c r="F142" s="1">
        <v>35.0</v>
      </c>
      <c r="G142" s="1" t="s">
        <v>55</v>
      </c>
      <c r="H142" s="2" t="s">
        <v>36</v>
      </c>
      <c r="I142" s="2" t="s">
        <v>53</v>
      </c>
      <c r="J142" s="1" t="s">
        <v>68</v>
      </c>
      <c r="K142" s="1" t="s">
        <v>69</v>
      </c>
      <c r="L142" s="1">
        <v>8.0</v>
      </c>
      <c r="M142" s="1">
        <v>47.0</v>
      </c>
      <c r="N142" s="1">
        <v>43.0</v>
      </c>
      <c r="O142" s="1">
        <v>-4.0</v>
      </c>
      <c r="P142" s="1" t="s">
        <v>70</v>
      </c>
      <c r="Q142" s="1">
        <v>12.0</v>
      </c>
      <c r="R142" s="4">
        <v>1.345909</v>
      </c>
      <c r="S142" s="4">
        <v>-0.56666</v>
      </c>
      <c r="T142" s="4">
        <v>-1.91257</v>
      </c>
      <c r="U142" s="1" t="s">
        <v>27</v>
      </c>
      <c r="V142" s="1" t="s">
        <v>27</v>
      </c>
      <c r="W142" s="1" t="s">
        <v>27</v>
      </c>
      <c r="X142" s="1" t="s">
        <v>238</v>
      </c>
      <c r="Y142" s="3">
        <v>23.0</v>
      </c>
      <c r="Z142" s="3">
        <v>33.0</v>
      </c>
    </row>
    <row r="143">
      <c r="A143" s="3">
        <v>4.0</v>
      </c>
      <c r="B143" s="1" t="s">
        <v>28</v>
      </c>
      <c r="C143" s="1">
        <v>15.0</v>
      </c>
      <c r="D143" s="3" t="s">
        <v>51</v>
      </c>
      <c r="E143" s="1" t="s">
        <v>28</v>
      </c>
      <c r="F143" s="1">
        <v>11.0</v>
      </c>
      <c r="G143" s="1" t="s">
        <v>110</v>
      </c>
      <c r="H143" s="2" t="s">
        <v>36</v>
      </c>
      <c r="I143" s="2" t="s">
        <v>53</v>
      </c>
      <c r="J143" s="1" t="s">
        <v>53</v>
      </c>
      <c r="K143" s="1" t="s">
        <v>74</v>
      </c>
      <c r="L143" s="1">
        <v>12.0</v>
      </c>
      <c r="M143" s="1">
        <v>43.0</v>
      </c>
      <c r="N143" s="1">
        <v>0.0</v>
      </c>
      <c r="O143" s="1">
        <v>57.0</v>
      </c>
      <c r="P143" s="1" t="s">
        <v>40</v>
      </c>
      <c r="Q143" s="1"/>
      <c r="R143" s="4">
        <v>-0.56666</v>
      </c>
      <c r="S143" s="4">
        <v>7.0</v>
      </c>
      <c r="T143" s="4">
        <v>7.566657</v>
      </c>
      <c r="U143" s="1" t="s">
        <v>27</v>
      </c>
      <c r="V143" s="1" t="s">
        <v>27</v>
      </c>
      <c r="W143" s="1" t="s">
        <v>27</v>
      </c>
      <c r="X143" s="1" t="s">
        <v>239</v>
      </c>
      <c r="Y143" s="3">
        <v>29.0</v>
      </c>
      <c r="Z143" s="3">
        <v>33.0</v>
      </c>
    </row>
    <row r="144">
      <c r="A144" s="3">
        <v>4.0</v>
      </c>
      <c r="B144" s="1" t="s">
        <v>28</v>
      </c>
      <c r="C144" s="1" t="s">
        <v>27</v>
      </c>
      <c r="D144" s="1" t="s">
        <v>27</v>
      </c>
      <c r="E144" s="1" t="s">
        <v>28</v>
      </c>
      <c r="F144" s="1">
        <v>28.0</v>
      </c>
      <c r="G144" s="3" t="s">
        <v>29</v>
      </c>
      <c r="H144" s="2" t="s">
        <v>30</v>
      </c>
      <c r="I144" s="2"/>
      <c r="J144" s="1" t="s">
        <v>43</v>
      </c>
      <c r="K144" s="1" t="s">
        <v>27</v>
      </c>
      <c r="L144" s="1"/>
      <c r="M144" s="1">
        <v>-10.0</v>
      </c>
      <c r="N144" s="1">
        <v>0.0</v>
      </c>
      <c r="O144" s="1">
        <v>20.0</v>
      </c>
      <c r="P144" s="1" t="s">
        <v>146</v>
      </c>
      <c r="Q144" s="1"/>
      <c r="R144" s="5"/>
      <c r="S144" s="5"/>
      <c r="T144" s="4">
        <v>0.0</v>
      </c>
      <c r="U144" s="1" t="s">
        <v>27</v>
      </c>
      <c r="V144" s="1" t="s">
        <v>27</v>
      </c>
      <c r="W144" s="1" t="s">
        <v>27</v>
      </c>
      <c r="X144" s="1" t="s">
        <v>147</v>
      </c>
      <c r="Y144" s="3">
        <v>30.0</v>
      </c>
      <c r="Z144" s="3">
        <v>33.0</v>
      </c>
    </row>
    <row r="145">
      <c r="A145" s="3">
        <v>4.0</v>
      </c>
      <c r="B145" s="2" t="s">
        <v>26</v>
      </c>
      <c r="C145" s="1" t="s">
        <v>27</v>
      </c>
      <c r="D145" s="1" t="s">
        <v>27</v>
      </c>
      <c r="E145" s="1" t="s">
        <v>28</v>
      </c>
      <c r="F145" s="1">
        <v>28.0</v>
      </c>
      <c r="G145" s="3" t="s">
        <v>29</v>
      </c>
      <c r="H145" s="2" t="s">
        <v>30</v>
      </c>
      <c r="I145" s="2"/>
      <c r="J145" s="1" t="s">
        <v>31</v>
      </c>
      <c r="K145" s="1" t="s">
        <v>27</v>
      </c>
      <c r="L145" s="1"/>
      <c r="M145" s="1">
        <v>35.0</v>
      </c>
      <c r="N145" s="1">
        <v>0.0</v>
      </c>
      <c r="O145" s="1">
        <v>65.0</v>
      </c>
      <c r="P145" s="1" t="s">
        <v>32</v>
      </c>
      <c r="Q145" s="1">
        <v>10.0</v>
      </c>
      <c r="R145" s="4">
        <v>0.0</v>
      </c>
      <c r="S145" s="4">
        <v>0.884959</v>
      </c>
      <c r="T145" s="4">
        <v>0.884959</v>
      </c>
      <c r="U145" s="1" t="s">
        <v>27</v>
      </c>
      <c r="V145" s="1" t="s">
        <v>27</v>
      </c>
      <c r="W145" s="1" t="s">
        <v>27</v>
      </c>
      <c r="X145" s="1" t="s">
        <v>33</v>
      </c>
      <c r="Y145" s="3">
        <v>30.0</v>
      </c>
      <c r="Z145" s="3">
        <v>33.0</v>
      </c>
    </row>
    <row r="146">
      <c r="A146" s="3">
        <v>4.0</v>
      </c>
      <c r="B146" s="1" t="s">
        <v>26</v>
      </c>
      <c r="C146" s="1">
        <v>10.0</v>
      </c>
      <c r="D146" s="3" t="s">
        <v>34</v>
      </c>
      <c r="E146" s="1" t="s">
        <v>26</v>
      </c>
      <c r="F146" s="1">
        <v>31.0</v>
      </c>
      <c r="G146" s="3" t="s">
        <v>35</v>
      </c>
      <c r="H146" s="2" t="s">
        <v>36</v>
      </c>
      <c r="I146" s="2" t="s">
        <v>37</v>
      </c>
      <c r="J146" s="1" t="s">
        <v>38</v>
      </c>
      <c r="K146" s="1" t="s">
        <v>39</v>
      </c>
      <c r="L146" s="3">
        <v>10.0</v>
      </c>
      <c r="M146" s="1">
        <v>25.0</v>
      </c>
      <c r="N146" s="1">
        <v>28.0</v>
      </c>
      <c r="O146" s="1">
        <v>3.0</v>
      </c>
      <c r="P146" s="1" t="s">
        <v>54</v>
      </c>
      <c r="Q146" s="1">
        <v>7.0</v>
      </c>
      <c r="R146" s="4">
        <v>0.884959</v>
      </c>
      <c r="S146" s="4">
        <v>0.664532</v>
      </c>
      <c r="T146" s="4">
        <v>-0.22043</v>
      </c>
      <c r="U146" s="1">
        <v>6.0</v>
      </c>
      <c r="V146" s="1" t="s">
        <v>28</v>
      </c>
      <c r="W146" s="1" t="s">
        <v>227</v>
      </c>
      <c r="X146" s="1" t="s">
        <v>90</v>
      </c>
      <c r="Y146" s="3">
        <v>30.0</v>
      </c>
      <c r="Z146" s="3">
        <v>33.0</v>
      </c>
    </row>
    <row r="147">
      <c r="A147" s="3">
        <v>4.0</v>
      </c>
      <c r="B147" s="1" t="s">
        <v>26</v>
      </c>
      <c r="C147" s="1">
        <v>10.0</v>
      </c>
      <c r="D147" s="3" t="s">
        <v>34</v>
      </c>
      <c r="E147" s="1" t="s">
        <v>26</v>
      </c>
      <c r="F147" s="1">
        <v>31.0</v>
      </c>
      <c r="G147" s="3" t="s">
        <v>35</v>
      </c>
      <c r="H147" s="2" t="s">
        <v>36</v>
      </c>
      <c r="I147" s="2" t="s">
        <v>37</v>
      </c>
      <c r="J147" s="1" t="s">
        <v>38</v>
      </c>
      <c r="K147" s="1" t="s">
        <v>58</v>
      </c>
      <c r="L147" s="1">
        <v>7.0</v>
      </c>
      <c r="M147" s="1">
        <v>28.0</v>
      </c>
      <c r="N147" s="1">
        <v>31.0</v>
      </c>
      <c r="O147" s="1">
        <v>3.0</v>
      </c>
      <c r="P147" s="1" t="s">
        <v>64</v>
      </c>
      <c r="Q147" s="1">
        <v>4.0</v>
      </c>
      <c r="R147" s="4">
        <v>0.664532</v>
      </c>
      <c r="S147" s="4">
        <v>0.391952</v>
      </c>
      <c r="T147" s="4">
        <v>-0.27258</v>
      </c>
      <c r="U147" s="1">
        <v>72.0</v>
      </c>
      <c r="V147" s="1" t="s">
        <v>28</v>
      </c>
      <c r="W147" s="1" t="s">
        <v>83</v>
      </c>
      <c r="X147" s="1" t="s">
        <v>91</v>
      </c>
      <c r="Y147" s="3">
        <v>30.0</v>
      </c>
      <c r="Z147" s="3">
        <v>33.0</v>
      </c>
    </row>
    <row r="148">
      <c r="A148" s="3">
        <v>4.0</v>
      </c>
      <c r="B148" s="1" t="s">
        <v>26</v>
      </c>
      <c r="C148" s="1">
        <v>10.0</v>
      </c>
      <c r="D148" s="3" t="s">
        <v>34</v>
      </c>
      <c r="E148" s="1" t="s">
        <v>26</v>
      </c>
      <c r="F148" s="1">
        <v>31.0</v>
      </c>
      <c r="G148" s="3" t="s">
        <v>35</v>
      </c>
      <c r="H148" s="2" t="s">
        <v>36</v>
      </c>
      <c r="I148" s="2" t="s">
        <v>37</v>
      </c>
      <c r="J148" s="1" t="s">
        <v>38</v>
      </c>
      <c r="K148" s="1" t="s">
        <v>69</v>
      </c>
      <c r="L148" s="1">
        <v>4.0</v>
      </c>
      <c r="M148" s="1">
        <v>31.0</v>
      </c>
      <c r="N148" s="1">
        <v>31.0</v>
      </c>
      <c r="O148" s="1">
        <v>0.0</v>
      </c>
      <c r="P148" s="1" t="s">
        <v>70</v>
      </c>
      <c r="Q148" s="1">
        <v>4.0</v>
      </c>
      <c r="R148" s="4">
        <v>0.391952</v>
      </c>
      <c r="S148" s="4">
        <v>-1.17145</v>
      </c>
      <c r="T148" s="4">
        <v>-1.56341</v>
      </c>
      <c r="U148" s="1">
        <v>10.0</v>
      </c>
      <c r="V148" s="1" t="s">
        <v>28</v>
      </c>
      <c r="W148" s="1" t="s">
        <v>114</v>
      </c>
      <c r="X148" s="1" t="s">
        <v>240</v>
      </c>
      <c r="Y148" s="3">
        <v>30.0</v>
      </c>
      <c r="Z148" s="3">
        <v>33.0</v>
      </c>
    </row>
    <row r="149">
      <c r="A149" s="3">
        <v>4.0</v>
      </c>
      <c r="B149" s="1" t="s">
        <v>26</v>
      </c>
      <c r="C149" s="1" t="s">
        <v>27</v>
      </c>
      <c r="D149" s="1" t="s">
        <v>27</v>
      </c>
      <c r="E149" s="1" t="s">
        <v>26</v>
      </c>
      <c r="F149" s="1">
        <v>8.0</v>
      </c>
      <c r="G149" s="3" t="s">
        <v>119</v>
      </c>
      <c r="H149" s="2" t="s">
        <v>36</v>
      </c>
      <c r="I149" s="2"/>
      <c r="J149" s="1" t="s">
        <v>73</v>
      </c>
      <c r="K149" s="1" t="s">
        <v>74</v>
      </c>
      <c r="L149" s="1">
        <v>4.0</v>
      </c>
      <c r="M149" s="1">
        <v>18.0</v>
      </c>
      <c r="N149" s="1">
        <v>-32.0</v>
      </c>
      <c r="O149" s="1">
        <v>50.0</v>
      </c>
      <c r="P149" s="1" t="s">
        <v>75</v>
      </c>
      <c r="Q149" s="1"/>
      <c r="R149" s="4">
        <v>-1.17145</v>
      </c>
      <c r="S149" s="4">
        <v>-2.539039</v>
      </c>
      <c r="T149" s="4">
        <v>-1.3675889999999997</v>
      </c>
      <c r="U149" s="1" t="s">
        <v>27</v>
      </c>
      <c r="V149" s="1" t="s">
        <v>27</v>
      </c>
      <c r="W149" s="1" t="s">
        <v>27</v>
      </c>
      <c r="X149" s="1" t="s">
        <v>241</v>
      </c>
      <c r="Y149" s="3">
        <v>30.0</v>
      </c>
      <c r="Z149" s="3">
        <v>33.0</v>
      </c>
    </row>
    <row r="150">
      <c r="A150" s="3">
        <v>4.0</v>
      </c>
      <c r="B150" s="1" t="s">
        <v>28</v>
      </c>
      <c r="C150" s="1" t="s">
        <v>27</v>
      </c>
      <c r="D150" s="1" t="s">
        <v>27</v>
      </c>
      <c r="E150" s="1" t="s">
        <v>26</v>
      </c>
      <c r="F150" s="1" t="s">
        <v>27</v>
      </c>
      <c r="G150" s="1" t="s">
        <v>27</v>
      </c>
      <c r="H150" s="2" t="s">
        <v>36</v>
      </c>
      <c r="I150" s="2"/>
      <c r="J150" s="1" t="s">
        <v>161</v>
      </c>
      <c r="K150" s="1" t="s">
        <v>27</v>
      </c>
      <c r="L150" s="1"/>
      <c r="M150" s="1">
        <v>32.0</v>
      </c>
      <c r="N150" s="1">
        <v>47.0</v>
      </c>
      <c r="O150" s="1">
        <v>15.0</v>
      </c>
      <c r="P150" s="1" t="s">
        <v>48</v>
      </c>
      <c r="Q150" s="1">
        <v>10.0</v>
      </c>
      <c r="R150" s="5"/>
      <c r="S150" s="5"/>
      <c r="T150" s="4">
        <v>0.0</v>
      </c>
      <c r="U150" s="1" t="s">
        <v>27</v>
      </c>
      <c r="V150" s="1" t="s">
        <v>27</v>
      </c>
      <c r="W150" s="1" t="s">
        <v>27</v>
      </c>
      <c r="X150" s="1" t="s">
        <v>201</v>
      </c>
      <c r="Y150" s="3">
        <v>30.0</v>
      </c>
      <c r="Z150" s="3">
        <v>33.0</v>
      </c>
    </row>
    <row r="151">
      <c r="A151" s="3">
        <v>4.0</v>
      </c>
      <c r="B151" s="1" t="s">
        <v>28</v>
      </c>
      <c r="C151" s="1">
        <v>15.0</v>
      </c>
      <c r="D151" s="3" t="s">
        <v>51</v>
      </c>
      <c r="E151" s="1" t="s">
        <v>28</v>
      </c>
      <c r="F151" s="1">
        <v>23.0</v>
      </c>
      <c r="G151" s="3" t="s">
        <v>61</v>
      </c>
      <c r="H151" s="2" t="s">
        <v>36</v>
      </c>
      <c r="I151" s="2" t="s">
        <v>53</v>
      </c>
      <c r="J151" s="1" t="s">
        <v>53</v>
      </c>
      <c r="K151" s="1" t="s">
        <v>39</v>
      </c>
      <c r="L151" s="3">
        <v>10.0</v>
      </c>
      <c r="M151" s="1">
        <v>47.0</v>
      </c>
      <c r="N151" s="1">
        <v>-44.0</v>
      </c>
      <c r="O151" s="1">
        <v>9.0</v>
      </c>
      <c r="P151" s="1" t="s">
        <v>54</v>
      </c>
      <c r="Q151" s="1">
        <v>1.0</v>
      </c>
      <c r="R151" s="4">
        <v>2.539039</v>
      </c>
      <c r="S151" s="4">
        <v>3.497478</v>
      </c>
      <c r="T151" s="4">
        <v>0.958439</v>
      </c>
      <c r="U151" s="1" t="s">
        <v>27</v>
      </c>
      <c r="V151" s="1" t="s">
        <v>27</v>
      </c>
      <c r="W151" s="1" t="s">
        <v>27</v>
      </c>
      <c r="X151" s="1" t="s">
        <v>66</v>
      </c>
      <c r="Y151" s="3">
        <v>30.0</v>
      </c>
      <c r="Z151" s="3">
        <v>33.0</v>
      </c>
    </row>
    <row r="152">
      <c r="A152" s="3">
        <v>4.0</v>
      </c>
      <c r="B152" s="1" t="s">
        <v>28</v>
      </c>
      <c r="C152" s="1">
        <v>15.0</v>
      </c>
      <c r="D152" s="3" t="s">
        <v>51</v>
      </c>
      <c r="E152" s="1" t="s">
        <v>28</v>
      </c>
      <c r="F152" s="1">
        <v>23.0</v>
      </c>
      <c r="G152" s="3" t="s">
        <v>61</v>
      </c>
      <c r="H152" s="2" t="s">
        <v>36</v>
      </c>
      <c r="I152" s="2" t="s">
        <v>37</v>
      </c>
      <c r="J152" s="1" t="s">
        <v>38</v>
      </c>
      <c r="K152" s="1" t="s">
        <v>58</v>
      </c>
      <c r="L152" s="1">
        <v>1.0</v>
      </c>
      <c r="M152" s="1">
        <v>-44.0</v>
      </c>
      <c r="N152" s="1">
        <v>-42.0</v>
      </c>
      <c r="O152" s="1">
        <v>2.0</v>
      </c>
      <c r="P152" s="1" t="s">
        <v>48</v>
      </c>
      <c r="Q152" s="1">
        <v>10.0</v>
      </c>
      <c r="R152" s="4">
        <v>3.497478</v>
      </c>
      <c r="S152" s="4">
        <v>3.158878</v>
      </c>
      <c r="T152" s="4">
        <v>-0.3386</v>
      </c>
      <c r="U152" s="1">
        <v>47.0</v>
      </c>
      <c r="V152" s="1" t="s">
        <v>26</v>
      </c>
      <c r="W152" s="1" t="s">
        <v>59</v>
      </c>
      <c r="X152" s="1" t="s">
        <v>242</v>
      </c>
      <c r="Y152" s="3">
        <v>30.0</v>
      </c>
      <c r="Z152" s="3">
        <v>33.0</v>
      </c>
    </row>
    <row r="153">
      <c r="A153" s="3">
        <v>4.0</v>
      </c>
      <c r="B153" s="1" t="s">
        <v>28</v>
      </c>
      <c r="C153" s="1">
        <v>15.0</v>
      </c>
      <c r="D153" s="3" t="s">
        <v>51</v>
      </c>
      <c r="E153" s="1" t="s">
        <v>28</v>
      </c>
      <c r="F153" s="1">
        <v>23.0</v>
      </c>
      <c r="G153" s="3" t="s">
        <v>61</v>
      </c>
      <c r="H153" s="2" t="s">
        <v>36</v>
      </c>
      <c r="I153" s="2" t="s">
        <v>53</v>
      </c>
      <c r="J153" s="1" t="s">
        <v>117</v>
      </c>
      <c r="K153" s="1" t="s">
        <v>39</v>
      </c>
      <c r="L153" s="3">
        <v>10.0</v>
      </c>
      <c r="M153" s="1">
        <v>-42.0</v>
      </c>
      <c r="N153" s="1">
        <v>-42.0</v>
      </c>
      <c r="O153" s="1">
        <v>0.0</v>
      </c>
      <c r="P153" s="1" t="s">
        <v>54</v>
      </c>
      <c r="Q153" s="1">
        <v>10.0</v>
      </c>
      <c r="R153" s="4">
        <v>3.158878</v>
      </c>
      <c r="S153" s="4">
        <v>2.671807</v>
      </c>
      <c r="T153" s="4">
        <v>-0.48707</v>
      </c>
      <c r="U153" s="1" t="s">
        <v>27</v>
      </c>
      <c r="V153" s="1" t="s">
        <v>27</v>
      </c>
      <c r="W153" s="1" t="s">
        <v>27</v>
      </c>
      <c r="X153" s="1" t="s">
        <v>217</v>
      </c>
      <c r="Y153" s="3">
        <v>30.0</v>
      </c>
      <c r="Z153" s="3">
        <v>33.0</v>
      </c>
    </row>
    <row r="154">
      <c r="A154" s="3">
        <v>4.0</v>
      </c>
      <c r="B154" s="1" t="s">
        <v>28</v>
      </c>
      <c r="C154" s="1" t="s">
        <v>27</v>
      </c>
      <c r="D154" s="1" t="s">
        <v>27</v>
      </c>
      <c r="E154" s="1" t="s">
        <v>28</v>
      </c>
      <c r="F154" s="1" t="s">
        <v>27</v>
      </c>
      <c r="G154" s="1" t="s">
        <v>27</v>
      </c>
      <c r="H154" s="2" t="s">
        <v>36</v>
      </c>
      <c r="I154" s="2"/>
      <c r="J154" s="1" t="s">
        <v>106</v>
      </c>
      <c r="K154" s="1" t="s">
        <v>58</v>
      </c>
      <c r="L154" s="1">
        <v>10.0</v>
      </c>
      <c r="M154" s="1">
        <v>-42.0</v>
      </c>
      <c r="N154" s="1">
        <v>48.0</v>
      </c>
      <c r="O154" s="1">
        <v>-10.0</v>
      </c>
      <c r="P154" s="1" t="s">
        <v>54</v>
      </c>
      <c r="Q154" s="1">
        <v>20.0</v>
      </c>
      <c r="R154" s="4">
        <v>2.671807</v>
      </c>
      <c r="S154" s="4">
        <v>1.733131</v>
      </c>
      <c r="T154" s="4">
        <v>-0.93868</v>
      </c>
      <c r="U154" s="1" t="s">
        <v>27</v>
      </c>
      <c r="V154" s="1" t="s">
        <v>27</v>
      </c>
      <c r="W154" s="1" t="s">
        <v>27</v>
      </c>
      <c r="X154" s="1" t="s">
        <v>121</v>
      </c>
      <c r="Y154" s="3">
        <v>30.0</v>
      </c>
      <c r="Z154" s="3">
        <v>33.0</v>
      </c>
    </row>
    <row r="155">
      <c r="A155" s="3">
        <v>4.0</v>
      </c>
      <c r="B155" s="1" t="s">
        <v>28</v>
      </c>
      <c r="C155" s="1">
        <v>15.0</v>
      </c>
      <c r="D155" s="3" t="s">
        <v>51</v>
      </c>
      <c r="E155" s="1" t="s">
        <v>28</v>
      </c>
      <c r="F155" s="1">
        <v>82.0</v>
      </c>
      <c r="G155" s="3" t="s">
        <v>102</v>
      </c>
      <c r="H155" s="2" t="s">
        <v>36</v>
      </c>
      <c r="I155" s="2" t="s">
        <v>53</v>
      </c>
      <c r="J155" s="1" t="s">
        <v>53</v>
      </c>
      <c r="K155" s="1" t="s">
        <v>58</v>
      </c>
      <c r="L155" s="1">
        <v>20.0</v>
      </c>
      <c r="M155" s="1">
        <v>48.0</v>
      </c>
      <c r="N155" s="1">
        <v>-26.0</v>
      </c>
      <c r="O155" s="1">
        <v>26.0</v>
      </c>
      <c r="P155" s="1" t="s">
        <v>48</v>
      </c>
      <c r="Q155" s="1">
        <v>10.0</v>
      </c>
      <c r="R155" s="4">
        <v>1.733131</v>
      </c>
      <c r="S155" s="4">
        <v>3.8984</v>
      </c>
      <c r="T155" s="4">
        <v>2.165269</v>
      </c>
      <c r="U155" s="1">
        <v>4.0</v>
      </c>
      <c r="V155" s="1" t="s">
        <v>26</v>
      </c>
      <c r="W155" s="1" t="s">
        <v>243</v>
      </c>
      <c r="X155" s="1" t="s">
        <v>244</v>
      </c>
      <c r="Y155" s="3">
        <v>30.0</v>
      </c>
      <c r="Z155" s="3">
        <v>33.0</v>
      </c>
    </row>
    <row r="156">
      <c r="A156" s="3">
        <v>4.0</v>
      </c>
      <c r="B156" s="1" t="s">
        <v>28</v>
      </c>
      <c r="C156" s="1">
        <v>15.0</v>
      </c>
      <c r="D156" s="3" t="s">
        <v>51</v>
      </c>
      <c r="E156" s="1" t="s">
        <v>28</v>
      </c>
      <c r="F156" s="1">
        <v>4.0</v>
      </c>
      <c r="G156" s="3" t="s">
        <v>52</v>
      </c>
      <c r="H156" s="2" t="s">
        <v>36</v>
      </c>
      <c r="I156" s="2" t="s">
        <v>53</v>
      </c>
      <c r="J156" s="1" t="s">
        <v>53</v>
      </c>
      <c r="K156" s="1" t="s">
        <v>39</v>
      </c>
      <c r="L156" s="3">
        <v>10.0</v>
      </c>
      <c r="M156" s="1">
        <v>-26.0</v>
      </c>
      <c r="N156" s="1">
        <v>-29.0</v>
      </c>
      <c r="O156" s="1">
        <v>-3.0</v>
      </c>
      <c r="P156" s="1" t="s">
        <v>54</v>
      </c>
      <c r="Q156" s="1">
        <v>13.0</v>
      </c>
      <c r="R156" s="4">
        <v>3.8984</v>
      </c>
      <c r="S156" s="4">
        <v>3.41431</v>
      </c>
      <c r="T156" s="4">
        <v>-0.48409</v>
      </c>
      <c r="U156" s="1">
        <v>35.0</v>
      </c>
      <c r="V156" s="1" t="s">
        <v>26</v>
      </c>
      <c r="W156" s="1" t="s">
        <v>55</v>
      </c>
      <c r="X156" s="1" t="s">
        <v>245</v>
      </c>
      <c r="Y156" s="3">
        <v>30.0</v>
      </c>
      <c r="Z156" s="3">
        <v>33.0</v>
      </c>
    </row>
    <row r="157">
      <c r="A157" s="3">
        <v>4.0</v>
      </c>
      <c r="B157" s="1" t="s">
        <v>28</v>
      </c>
      <c r="C157" s="1">
        <v>15.0</v>
      </c>
      <c r="D157" s="3" t="s">
        <v>51</v>
      </c>
      <c r="E157" s="1" t="s">
        <v>26</v>
      </c>
      <c r="F157" s="1">
        <v>54.0</v>
      </c>
      <c r="G157" s="1" t="s">
        <v>246</v>
      </c>
      <c r="H157" s="2" t="s">
        <v>36</v>
      </c>
      <c r="I157" s="2" t="s">
        <v>53</v>
      </c>
      <c r="J157" s="1" t="s">
        <v>68</v>
      </c>
      <c r="K157" s="1" t="s">
        <v>58</v>
      </c>
      <c r="L157" s="1">
        <v>13.0</v>
      </c>
      <c r="M157" s="1">
        <v>-29.0</v>
      </c>
      <c r="N157" s="1">
        <v>-39.0</v>
      </c>
      <c r="O157" s="1">
        <v>-10.0</v>
      </c>
      <c r="P157" s="1" t="s">
        <v>64</v>
      </c>
      <c r="Q157" s="1">
        <v>23.0</v>
      </c>
      <c r="R157" s="4">
        <v>3.41431</v>
      </c>
      <c r="S157" s="4">
        <v>1.705066</v>
      </c>
      <c r="T157" s="4">
        <v>-1.70924</v>
      </c>
      <c r="U157" s="1" t="s">
        <v>27</v>
      </c>
      <c r="V157" s="1" t="s">
        <v>27</v>
      </c>
      <c r="W157" s="1" t="s">
        <v>27</v>
      </c>
      <c r="X157" s="1" t="s">
        <v>247</v>
      </c>
      <c r="Y157" s="3">
        <v>30.0</v>
      </c>
      <c r="Z157" s="3">
        <v>33.0</v>
      </c>
    </row>
    <row r="158">
      <c r="A158" s="3">
        <v>4.0</v>
      </c>
      <c r="B158" s="1" t="s">
        <v>28</v>
      </c>
      <c r="C158" s="1">
        <v>15.0</v>
      </c>
      <c r="D158" s="3" t="s">
        <v>51</v>
      </c>
      <c r="E158" s="1" t="s">
        <v>28</v>
      </c>
      <c r="F158" s="1" t="s">
        <v>27</v>
      </c>
      <c r="G158" s="1" t="s">
        <v>27</v>
      </c>
      <c r="H158" s="2" t="s">
        <v>36</v>
      </c>
      <c r="I158" s="2" t="s">
        <v>53</v>
      </c>
      <c r="J158" s="1" t="s">
        <v>117</v>
      </c>
      <c r="K158" s="1" t="s">
        <v>69</v>
      </c>
      <c r="L158" s="1">
        <v>23.0</v>
      </c>
      <c r="M158" s="1">
        <v>-39.0</v>
      </c>
      <c r="N158" s="1">
        <v>-39.0</v>
      </c>
      <c r="O158" s="1">
        <v>0.0</v>
      </c>
      <c r="P158" s="1" t="s">
        <v>70</v>
      </c>
      <c r="Q158" s="1">
        <v>23.0</v>
      </c>
      <c r="R158" s="4">
        <v>1.705066</v>
      </c>
      <c r="S158" s="4">
        <v>0.987871</v>
      </c>
      <c r="T158" s="4">
        <v>-0.71719</v>
      </c>
      <c r="U158" s="1" t="s">
        <v>27</v>
      </c>
      <c r="V158" s="1" t="s">
        <v>27</v>
      </c>
      <c r="W158" s="1" t="s">
        <v>27</v>
      </c>
      <c r="X158" s="1" t="s">
        <v>248</v>
      </c>
      <c r="Y158" s="3">
        <v>30.0</v>
      </c>
      <c r="Z158" s="3">
        <v>33.0</v>
      </c>
    </row>
    <row r="159">
      <c r="A159" s="3">
        <v>4.0</v>
      </c>
      <c r="B159" s="1" t="s">
        <v>28</v>
      </c>
      <c r="C159" s="1" t="s">
        <v>27</v>
      </c>
      <c r="D159" s="1" t="s">
        <v>27</v>
      </c>
      <c r="E159" s="1" t="s">
        <v>28</v>
      </c>
      <c r="F159" s="1">
        <v>28.0</v>
      </c>
      <c r="G159" s="3" t="s">
        <v>176</v>
      </c>
      <c r="H159" s="2" t="s">
        <v>30</v>
      </c>
      <c r="I159" s="2"/>
      <c r="J159" s="1" t="s">
        <v>94</v>
      </c>
      <c r="K159" s="1" t="s">
        <v>74</v>
      </c>
      <c r="L159" s="1">
        <v>23.0</v>
      </c>
      <c r="M159" s="1">
        <v>-46.0</v>
      </c>
      <c r="N159" s="1">
        <v>0.0</v>
      </c>
      <c r="O159" s="1">
        <v>46.0</v>
      </c>
      <c r="P159" s="3" t="s">
        <v>249</v>
      </c>
      <c r="Q159" s="1">
        <v>10.0</v>
      </c>
      <c r="R159" s="4">
        <v>0.987871</v>
      </c>
      <c r="S159" s="4">
        <v>-1.990539</v>
      </c>
      <c r="T159" s="4">
        <v>-2.9784100000000002</v>
      </c>
      <c r="U159" s="1" t="s">
        <v>27</v>
      </c>
      <c r="V159" s="1" t="s">
        <v>27</v>
      </c>
      <c r="W159" s="1" t="s">
        <v>27</v>
      </c>
      <c r="X159" s="1" t="s">
        <v>250</v>
      </c>
      <c r="Y159" s="3">
        <v>30.0</v>
      </c>
      <c r="Z159" s="3">
        <v>33.0</v>
      </c>
    </row>
    <row r="160">
      <c r="A160" s="3">
        <v>4.0</v>
      </c>
      <c r="B160" s="1" t="s">
        <v>26</v>
      </c>
      <c r="C160" s="1" t="s">
        <v>27</v>
      </c>
      <c r="D160" s="1" t="s">
        <v>27</v>
      </c>
      <c r="E160" s="1" t="s">
        <v>26</v>
      </c>
      <c r="F160" s="1" t="s">
        <v>27</v>
      </c>
      <c r="G160" s="1" t="s">
        <v>27</v>
      </c>
      <c r="H160" s="2" t="s">
        <v>36</v>
      </c>
      <c r="I160" s="2"/>
      <c r="J160" s="1" t="s">
        <v>106</v>
      </c>
      <c r="K160" s="1" t="s">
        <v>39</v>
      </c>
      <c r="L160" s="3">
        <v>10.0</v>
      </c>
      <c r="M160" s="1">
        <v>39.0</v>
      </c>
      <c r="N160" s="1">
        <v>24.0</v>
      </c>
      <c r="O160" s="1">
        <v>-15.0</v>
      </c>
      <c r="P160" s="1" t="s">
        <v>48</v>
      </c>
      <c r="Q160" s="1">
        <v>10.0</v>
      </c>
      <c r="R160" s="4"/>
      <c r="S160" s="4"/>
      <c r="T160" s="4"/>
      <c r="U160" s="1" t="s">
        <v>27</v>
      </c>
      <c r="V160" s="1" t="s">
        <v>27</v>
      </c>
      <c r="W160" s="1" t="s">
        <v>27</v>
      </c>
      <c r="X160" s="1" t="s">
        <v>163</v>
      </c>
      <c r="Y160" s="3">
        <v>30.0</v>
      </c>
      <c r="Z160" s="3">
        <v>33.0</v>
      </c>
    </row>
    <row r="161">
      <c r="A161" s="3">
        <v>4.0</v>
      </c>
      <c r="B161" s="1" t="s">
        <v>26</v>
      </c>
      <c r="C161" s="1">
        <v>10.0</v>
      </c>
      <c r="D161" s="3" t="s">
        <v>34</v>
      </c>
      <c r="E161" s="1" t="s">
        <v>26</v>
      </c>
      <c r="F161" s="1">
        <v>10.0</v>
      </c>
      <c r="G161" s="3" t="s">
        <v>34</v>
      </c>
      <c r="H161" s="2" t="s">
        <v>36</v>
      </c>
      <c r="I161" s="2"/>
      <c r="J161" s="1" t="s">
        <v>251</v>
      </c>
      <c r="K161" s="1" t="s">
        <v>39</v>
      </c>
      <c r="L161" s="3">
        <v>10.0</v>
      </c>
      <c r="M161" s="1">
        <v>24.0</v>
      </c>
      <c r="N161" s="1">
        <v>24.0</v>
      </c>
      <c r="O161" s="1">
        <v>0.0</v>
      </c>
      <c r="P161" s="1" t="s">
        <v>54</v>
      </c>
      <c r="Q161" s="1">
        <v>10.0</v>
      </c>
      <c r="R161" s="4"/>
      <c r="S161" s="4"/>
      <c r="T161" s="4"/>
      <c r="U161" s="1" t="s">
        <v>27</v>
      </c>
      <c r="V161" s="1" t="s">
        <v>27</v>
      </c>
      <c r="W161" s="1" t="s">
        <v>27</v>
      </c>
      <c r="X161" s="1" t="s">
        <v>252</v>
      </c>
      <c r="Y161" s="3">
        <v>30.0</v>
      </c>
      <c r="Z161" s="3">
        <v>33.0</v>
      </c>
    </row>
    <row r="162">
      <c r="A162" s="3">
        <v>4.0</v>
      </c>
      <c r="B162" s="1" t="s">
        <v>26</v>
      </c>
      <c r="C162" s="1">
        <v>10.0</v>
      </c>
      <c r="D162" s="3" t="s">
        <v>34</v>
      </c>
      <c r="E162" s="1" t="s">
        <v>26</v>
      </c>
      <c r="F162" s="1">
        <v>10.0</v>
      </c>
      <c r="G162" s="3" t="s">
        <v>34</v>
      </c>
      <c r="H162" s="2" t="s">
        <v>36</v>
      </c>
      <c r="I162" s="2"/>
      <c r="J162" s="1" t="s">
        <v>251</v>
      </c>
      <c r="K162" s="1" t="s">
        <v>58</v>
      </c>
      <c r="L162" s="1">
        <v>10.0</v>
      </c>
      <c r="M162" s="1">
        <v>24.0</v>
      </c>
      <c r="N162" s="1">
        <v>24.0</v>
      </c>
      <c r="O162" s="1">
        <v>0.0</v>
      </c>
      <c r="P162" s="1" t="s">
        <v>253</v>
      </c>
      <c r="Q162" s="1"/>
      <c r="R162" s="5"/>
      <c r="S162" s="5"/>
      <c r="T162" s="4"/>
      <c r="U162" s="1" t="s">
        <v>27</v>
      </c>
      <c r="V162" s="1" t="s">
        <v>27</v>
      </c>
      <c r="W162" s="1" t="s">
        <v>27</v>
      </c>
      <c r="X162" s="1" t="s">
        <v>254</v>
      </c>
      <c r="Y162" s="3">
        <v>30.0</v>
      </c>
      <c r="Z162" s="3">
        <v>33.0</v>
      </c>
    </row>
  </sheetData>
  <autoFilter ref="$A$1:$AB$987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0"/>
    <col customWidth="1" min="2" max="2" width="7.38"/>
    <col customWidth="1" min="3" max="3" width="4.75"/>
    <col customWidth="1" min="4" max="4" width="27.13"/>
    <col customWidth="1" min="5" max="5" width="6.5"/>
    <col customWidth="1" min="6" max="6" width="8.88"/>
    <col customWidth="1" min="7" max="7" width="14.13"/>
    <col customWidth="1" min="8" max="8" width="27.25"/>
    <col customWidth="1" min="9" max="9" width="7.75"/>
    <col customWidth="1" min="10" max="10" width="6.0"/>
    <col customWidth="1" min="11" max="11" width="3.63"/>
    <col customWidth="1" min="12" max="12" width="6.63"/>
    <col customWidth="1" min="13" max="13" width="14.25"/>
    <col customWidth="1" min="14" max="14" width="10.38"/>
    <col customWidth="1" min="15" max="15" width="6.75"/>
    <col customWidth="1" min="16" max="16" width="10.13"/>
    <col customWidth="1" min="17" max="17" width="9.0"/>
    <col customWidth="1" min="18" max="18" width="4.75"/>
    <col customWidth="1" min="19" max="19" width="6.88"/>
    <col customWidth="1" min="20" max="20" width="17.38"/>
    <col customWidth="1" min="21" max="21" width="28.5"/>
    <col customWidth="1" min="22" max="22" width="80.63"/>
    <col customWidth="1" min="23" max="23" width="10.13"/>
    <col customWidth="1" min="24" max="24" width="11.13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9</v>
      </c>
      <c r="I1" s="7" t="s">
        <v>10</v>
      </c>
      <c r="J1" s="8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8" t="s">
        <v>16</v>
      </c>
      <c r="P1" s="9" t="s">
        <v>17</v>
      </c>
      <c r="Q1" s="9" t="s">
        <v>18</v>
      </c>
      <c r="R1" s="9" t="s">
        <v>19</v>
      </c>
      <c r="S1" s="7" t="s">
        <v>20</v>
      </c>
      <c r="T1" s="7" t="s">
        <v>21</v>
      </c>
      <c r="U1" s="7" t="s">
        <v>22</v>
      </c>
      <c r="V1" s="10" t="s">
        <v>23</v>
      </c>
      <c r="W1" s="10" t="s">
        <v>24</v>
      </c>
      <c r="X1" s="10" t="s">
        <v>25</v>
      </c>
    </row>
    <row r="2">
      <c r="A2" s="11">
        <v>1.0</v>
      </c>
      <c r="B2" s="12" t="s">
        <v>28</v>
      </c>
      <c r="C2" s="12" t="s">
        <v>27</v>
      </c>
      <c r="D2" s="12" t="s">
        <v>27</v>
      </c>
      <c r="E2" s="12" t="s">
        <v>28</v>
      </c>
      <c r="F2" s="12">
        <v>28.0</v>
      </c>
      <c r="G2" s="11" t="s">
        <v>29</v>
      </c>
      <c r="H2" s="12" t="s">
        <v>31</v>
      </c>
      <c r="I2" s="12" t="s">
        <v>27</v>
      </c>
      <c r="J2" s="12"/>
      <c r="K2" s="12">
        <v>35.0</v>
      </c>
      <c r="L2" s="12">
        <v>0.0</v>
      </c>
      <c r="M2" s="12">
        <v>65.0</v>
      </c>
      <c r="N2" s="12" t="s">
        <v>32</v>
      </c>
      <c r="O2" s="12"/>
      <c r="P2" s="13">
        <v>0.0</v>
      </c>
      <c r="Q2" s="14">
        <v>0.884959</v>
      </c>
      <c r="R2" s="14">
        <f>Q2-P2</f>
        <v>0.884959</v>
      </c>
      <c r="S2" s="12" t="s">
        <v>27</v>
      </c>
      <c r="T2" s="12" t="s">
        <v>27</v>
      </c>
      <c r="U2" s="12" t="s">
        <v>27</v>
      </c>
      <c r="V2" s="12" t="str">
        <f>G2 &amp; " kicks off " &amp; M2 &amp; " yardas, " &amp; N2</f>
        <v>Roberto Medina kicks off 65 yardas, Touchback</v>
      </c>
      <c r="W2" s="10">
        <v>0.0</v>
      </c>
      <c r="X2" s="10">
        <v>0.0</v>
      </c>
    </row>
    <row r="3">
      <c r="A3" s="11">
        <v>1.0</v>
      </c>
      <c r="B3" s="12" t="s">
        <v>26</v>
      </c>
      <c r="C3" s="12">
        <v>10.0</v>
      </c>
      <c r="D3" s="11" t="s">
        <v>34</v>
      </c>
      <c r="E3" s="12" t="s">
        <v>26</v>
      </c>
      <c r="F3" s="12">
        <v>31.0</v>
      </c>
      <c r="G3" s="11" t="s">
        <v>35</v>
      </c>
      <c r="H3" s="12" t="s">
        <v>38</v>
      </c>
      <c r="I3" s="12" t="s">
        <v>39</v>
      </c>
      <c r="J3" s="10">
        <v>10.0</v>
      </c>
      <c r="K3" s="12">
        <v>25.0</v>
      </c>
      <c r="L3" s="12">
        <v>0.0</v>
      </c>
      <c r="M3" s="12">
        <v>75.0</v>
      </c>
      <c r="N3" s="12" t="s">
        <v>40</v>
      </c>
      <c r="O3" s="12"/>
      <c r="P3" s="14">
        <v>0.884959</v>
      </c>
      <c r="Q3" s="14">
        <v>7.0</v>
      </c>
      <c r="R3" s="14">
        <v>6.115041</v>
      </c>
      <c r="S3" s="12" t="s">
        <v>27</v>
      </c>
      <c r="T3" s="12" t="s">
        <v>27</v>
      </c>
      <c r="U3" s="12" t="s">
        <v>27</v>
      </c>
      <c r="V3" s="12" t="str">
        <f>G3 &amp; "para " &amp; M3 &amp; " yardas, " &amp; N3</f>
        <v>Ángel Alvarado para 75 yardas, TD</v>
      </c>
      <c r="W3" s="10">
        <v>0.0</v>
      </c>
      <c r="X3" s="10">
        <v>6.0</v>
      </c>
    </row>
    <row r="4">
      <c r="A4" s="11">
        <v>1.0</v>
      </c>
      <c r="B4" s="12" t="s">
        <v>26</v>
      </c>
      <c r="C4" s="12" t="s">
        <v>27</v>
      </c>
      <c r="D4" s="12" t="s">
        <v>27</v>
      </c>
      <c r="E4" s="12" t="s">
        <v>26</v>
      </c>
      <c r="F4" s="12">
        <v>42.0</v>
      </c>
      <c r="G4" s="12" t="s">
        <v>42</v>
      </c>
      <c r="H4" s="12" t="s">
        <v>43</v>
      </c>
      <c r="I4" s="12" t="s">
        <v>27</v>
      </c>
      <c r="J4" s="12"/>
      <c r="K4" s="12">
        <v>-10.0</v>
      </c>
      <c r="L4" s="12">
        <v>0.0</v>
      </c>
      <c r="M4" s="12">
        <v>10.0</v>
      </c>
      <c r="N4" s="12" t="s">
        <v>44</v>
      </c>
      <c r="O4" s="12"/>
      <c r="P4" s="15"/>
      <c r="Q4" s="15"/>
      <c r="R4" s="15"/>
      <c r="S4" s="12" t="s">
        <v>27</v>
      </c>
      <c r="T4" s="12" t="s">
        <v>27</v>
      </c>
      <c r="U4" s="12" t="s">
        <v>27</v>
      </c>
      <c r="V4" s="12" t="str">
        <f>G4 &amp; " " &amp; N4</f>
        <v>Reynaldo Adolfo Blanco Palomo PAT fallada</v>
      </c>
      <c r="W4" s="10">
        <v>0.0</v>
      </c>
      <c r="X4" s="10">
        <v>6.0</v>
      </c>
    </row>
    <row r="5">
      <c r="A5" s="11">
        <v>1.0</v>
      </c>
      <c r="B5" s="12" t="s">
        <v>28</v>
      </c>
      <c r="C5" s="12" t="s">
        <v>27</v>
      </c>
      <c r="D5" s="12" t="s">
        <v>27</v>
      </c>
      <c r="E5" s="12" t="s">
        <v>28</v>
      </c>
      <c r="F5" s="12">
        <v>81.0</v>
      </c>
      <c r="G5" s="11" t="s">
        <v>46</v>
      </c>
      <c r="H5" s="12" t="s">
        <v>47</v>
      </c>
      <c r="I5" s="12" t="s">
        <v>27</v>
      </c>
      <c r="J5" s="12"/>
      <c r="K5" s="12">
        <v>3.0</v>
      </c>
      <c r="L5" s="12">
        <v>20.0</v>
      </c>
      <c r="M5" s="12">
        <v>17.0</v>
      </c>
      <c r="N5" s="12" t="s">
        <v>48</v>
      </c>
      <c r="O5" s="12"/>
      <c r="P5" s="13">
        <v>0.0</v>
      </c>
      <c r="Q5" s="13">
        <v>0.473</v>
      </c>
      <c r="R5" s="14">
        <f>Q5-P5</f>
        <v>0.473</v>
      </c>
      <c r="S5" s="12">
        <v>28.0</v>
      </c>
      <c r="T5" s="12" t="s">
        <v>26</v>
      </c>
      <c r="U5" s="12" t="s">
        <v>49</v>
      </c>
      <c r="V5" s="12" t="s">
        <v>50</v>
      </c>
      <c r="W5" s="10">
        <v>0.0</v>
      </c>
      <c r="X5" s="10">
        <v>6.0</v>
      </c>
    </row>
    <row r="6">
      <c r="A6" s="11">
        <v>1.0</v>
      </c>
      <c r="B6" s="12" t="s">
        <v>28</v>
      </c>
      <c r="C6" s="12">
        <v>15.0</v>
      </c>
      <c r="D6" s="11" t="s">
        <v>51</v>
      </c>
      <c r="E6" s="12" t="s">
        <v>28</v>
      </c>
      <c r="F6" s="12">
        <v>4.0</v>
      </c>
      <c r="G6" s="11" t="s">
        <v>52</v>
      </c>
      <c r="H6" s="12" t="s">
        <v>53</v>
      </c>
      <c r="I6" s="12" t="s">
        <v>39</v>
      </c>
      <c r="J6" s="10">
        <v>10.0</v>
      </c>
      <c r="K6" s="12">
        <v>20.0</v>
      </c>
      <c r="L6" s="12">
        <v>26.0</v>
      </c>
      <c r="M6" s="12">
        <v>6.0</v>
      </c>
      <c r="N6" s="12" t="s">
        <v>54</v>
      </c>
      <c r="O6" s="12">
        <f t="shared" ref="O6:O28" si="1">J7</f>
        <v>4</v>
      </c>
      <c r="P6" s="14">
        <v>0.472631</v>
      </c>
      <c r="Q6" s="14">
        <v>0.74378</v>
      </c>
      <c r="R6" s="14">
        <v>0.271149</v>
      </c>
      <c r="S6" s="12">
        <v>35.0</v>
      </c>
      <c r="T6" s="12" t="s">
        <v>26</v>
      </c>
      <c r="U6" s="12" t="s">
        <v>55</v>
      </c>
      <c r="V6" s="12" t="str">
        <f t="shared" ref="V6:V7" si="2">D6 &amp; H6 &amp; " completo para " &amp;G6 &amp; "para " &amp; M6 &amp; " yardas" </f>
        <v>Fernando Sarabia Pase completo para Víctor Palacios para 6 yardas</v>
      </c>
      <c r="W6" s="10">
        <v>0.0</v>
      </c>
      <c r="X6" s="10">
        <v>6.0</v>
      </c>
    </row>
    <row r="7">
      <c r="A7" s="11">
        <v>1.0</v>
      </c>
      <c r="B7" s="12" t="s">
        <v>28</v>
      </c>
      <c r="C7" s="12">
        <v>15.0</v>
      </c>
      <c r="D7" s="11" t="s">
        <v>51</v>
      </c>
      <c r="E7" s="12" t="s">
        <v>28</v>
      </c>
      <c r="F7" s="12">
        <v>16.0</v>
      </c>
      <c r="G7" s="11" t="s">
        <v>57</v>
      </c>
      <c r="H7" s="12" t="s">
        <v>53</v>
      </c>
      <c r="I7" s="12" t="s">
        <v>58</v>
      </c>
      <c r="J7" s="10">
        <v>4.0</v>
      </c>
      <c r="K7" s="12">
        <v>26.0</v>
      </c>
      <c r="L7" s="12">
        <v>36.0</v>
      </c>
      <c r="M7" s="12">
        <v>10.0</v>
      </c>
      <c r="N7" s="12" t="s">
        <v>48</v>
      </c>
      <c r="O7" s="12">
        <f t="shared" si="1"/>
        <v>10</v>
      </c>
      <c r="P7" s="14">
        <v>0.74378</v>
      </c>
      <c r="Q7" s="14">
        <v>1.762387</v>
      </c>
      <c r="R7" s="14">
        <v>1.018607</v>
      </c>
      <c r="S7" s="12">
        <v>47.0</v>
      </c>
      <c r="T7" s="12" t="s">
        <v>26</v>
      </c>
      <c r="U7" s="12" t="s">
        <v>59</v>
      </c>
      <c r="V7" s="12" t="str">
        <f t="shared" si="2"/>
        <v>Fernando Sarabia Pase completo para Miguel Ángel Lozano para 10 yardas</v>
      </c>
      <c r="W7" s="10">
        <v>0.0</v>
      </c>
      <c r="X7" s="10">
        <v>6.0</v>
      </c>
    </row>
    <row r="8">
      <c r="A8" s="11">
        <v>1.0</v>
      </c>
      <c r="B8" s="12" t="s">
        <v>28</v>
      </c>
      <c r="C8" s="12">
        <v>15.0</v>
      </c>
      <c r="D8" s="11" t="s">
        <v>51</v>
      </c>
      <c r="E8" s="12" t="s">
        <v>28</v>
      </c>
      <c r="F8" s="12">
        <v>23.0</v>
      </c>
      <c r="G8" s="11" t="s">
        <v>61</v>
      </c>
      <c r="H8" s="12" t="s">
        <v>38</v>
      </c>
      <c r="I8" s="12" t="s">
        <v>39</v>
      </c>
      <c r="J8" s="10">
        <v>10.0</v>
      </c>
      <c r="K8" s="12">
        <v>36.0</v>
      </c>
      <c r="L8" s="12">
        <v>32.0</v>
      </c>
      <c r="M8" s="12">
        <v>-4.0</v>
      </c>
      <c r="N8" s="12" t="s">
        <v>54</v>
      </c>
      <c r="O8" s="12">
        <f t="shared" si="1"/>
        <v>14</v>
      </c>
      <c r="P8" s="14">
        <v>1.762387</v>
      </c>
      <c r="Q8" s="14">
        <v>0.703018</v>
      </c>
      <c r="R8" s="14">
        <v>-1.05937</v>
      </c>
      <c r="S8" s="12">
        <v>2.0</v>
      </c>
      <c r="T8" s="12" t="s">
        <v>26</v>
      </c>
      <c r="U8" s="12" t="s">
        <v>62</v>
      </c>
      <c r="V8" s="12" t="str">
        <f>G8 &amp; "para " &amp; M8 &amp; " yardas, " &amp; N8</f>
        <v>Alejandro Cruz para -4 yardas, 2do down</v>
      </c>
      <c r="W8" s="10">
        <v>0.0</v>
      </c>
      <c r="X8" s="10">
        <v>6.0</v>
      </c>
    </row>
    <row r="9">
      <c r="A9" s="11">
        <v>1.0</v>
      </c>
      <c r="B9" s="12" t="s">
        <v>28</v>
      </c>
      <c r="C9" s="12">
        <v>15.0</v>
      </c>
      <c r="D9" s="11" t="s">
        <v>51</v>
      </c>
      <c r="E9" s="12" t="s">
        <v>28</v>
      </c>
      <c r="F9" s="12">
        <v>23.0</v>
      </c>
      <c r="G9" s="11" t="s">
        <v>61</v>
      </c>
      <c r="H9" s="12" t="s">
        <v>53</v>
      </c>
      <c r="I9" s="12" t="s">
        <v>58</v>
      </c>
      <c r="J9" s="10">
        <v>14.0</v>
      </c>
      <c r="K9" s="12">
        <v>32.0</v>
      </c>
      <c r="L9" s="12">
        <v>41.0</v>
      </c>
      <c r="M9" s="12">
        <v>9.0</v>
      </c>
      <c r="N9" s="12" t="s">
        <v>64</v>
      </c>
      <c r="O9" s="12">
        <f t="shared" si="1"/>
        <v>5</v>
      </c>
      <c r="P9" s="14">
        <v>0.703018</v>
      </c>
      <c r="Q9" s="14">
        <v>1.104378</v>
      </c>
      <c r="R9" s="14">
        <v>0.401361</v>
      </c>
      <c r="S9" s="12">
        <v>29.0</v>
      </c>
      <c r="T9" s="12" t="s">
        <v>26</v>
      </c>
      <c r="U9" s="12" t="s">
        <v>65</v>
      </c>
      <c r="V9" s="12" t="str">
        <f>D9 &amp; H9 &amp; " completo para " &amp;G9 &amp; "para " &amp; M9 &amp; " yardas" </f>
        <v>Fernando Sarabia Pase completo para Alejandro Cruz para 9 yardas</v>
      </c>
      <c r="W9" s="10">
        <v>0.0</v>
      </c>
      <c r="X9" s="10">
        <v>6.0</v>
      </c>
    </row>
    <row r="10">
      <c r="A10" s="11">
        <v>1.0</v>
      </c>
      <c r="B10" s="12" t="s">
        <v>28</v>
      </c>
      <c r="C10" s="12">
        <v>15.0</v>
      </c>
      <c r="D10" s="11" t="s">
        <v>51</v>
      </c>
      <c r="E10" s="12" t="s">
        <v>26</v>
      </c>
      <c r="F10" s="12">
        <v>12.0</v>
      </c>
      <c r="G10" s="11" t="s">
        <v>67</v>
      </c>
      <c r="H10" s="12" t="s">
        <v>68</v>
      </c>
      <c r="I10" s="12" t="s">
        <v>69</v>
      </c>
      <c r="J10" s="12">
        <f t="shared" ref="J10:J11" si="3">J9-M9</f>
        <v>5</v>
      </c>
      <c r="K10" s="12">
        <v>41.0</v>
      </c>
      <c r="L10" s="12">
        <v>35.0</v>
      </c>
      <c r="M10" s="12">
        <v>-6.0</v>
      </c>
      <c r="N10" s="12" t="s">
        <v>70</v>
      </c>
      <c r="O10" s="12">
        <f t="shared" si="1"/>
        <v>11</v>
      </c>
      <c r="P10" s="14">
        <v>1.104378</v>
      </c>
      <c r="Q10" s="14">
        <v>-1.16675</v>
      </c>
      <c r="R10" s="14">
        <v>-2.27113</v>
      </c>
      <c r="S10" s="12" t="s">
        <v>27</v>
      </c>
      <c r="T10" s="12" t="s">
        <v>27</v>
      </c>
      <c r="U10" s="12" t="s">
        <v>27</v>
      </c>
      <c r="V10" s="12" t="str">
        <f>D10 &amp; "capturado por " &amp; G10</f>
        <v>Fernando Sarabia capturado por Diego Blade </v>
      </c>
      <c r="W10" s="10">
        <v>0.0</v>
      </c>
      <c r="X10" s="10">
        <v>6.0</v>
      </c>
    </row>
    <row r="11">
      <c r="A11" s="11">
        <v>1.0</v>
      </c>
      <c r="B11" s="12" t="s">
        <v>28</v>
      </c>
      <c r="C11" s="12" t="s">
        <v>27</v>
      </c>
      <c r="D11" s="12" t="s">
        <v>27</v>
      </c>
      <c r="E11" s="12" t="s">
        <v>28</v>
      </c>
      <c r="F11" s="12">
        <v>87.0</v>
      </c>
      <c r="G11" s="10" t="s">
        <v>72</v>
      </c>
      <c r="H11" s="12" t="s">
        <v>73</v>
      </c>
      <c r="I11" s="12" t="s">
        <v>74</v>
      </c>
      <c r="J11" s="12">
        <f t="shared" si="3"/>
        <v>11</v>
      </c>
      <c r="K11" s="12">
        <v>22.0</v>
      </c>
      <c r="L11" s="12">
        <v>-25.0</v>
      </c>
      <c r="M11" s="12">
        <v>53.0</v>
      </c>
      <c r="N11" s="12" t="s">
        <v>75</v>
      </c>
      <c r="O11" s="12">
        <f t="shared" si="1"/>
        <v>10</v>
      </c>
      <c r="P11" s="14">
        <v>-1.16675</v>
      </c>
      <c r="Q11" s="13">
        <v>-0.974</v>
      </c>
      <c r="R11" s="14">
        <f>Q11-P11</f>
        <v>0.19275</v>
      </c>
      <c r="S11" s="12" t="s">
        <v>27</v>
      </c>
      <c r="T11" s="12" t="s">
        <v>27</v>
      </c>
      <c r="U11" s="12" t="s">
        <v>27</v>
      </c>
      <c r="V11" s="12" t="str">
        <f>G11 &amp; H11 &amp; " " &amp; M11 &amp; " yardas, " &amp; N11</f>
        <v>Mauricio Fernández Salazar  Punt 53 yardas, Recepción libre</v>
      </c>
      <c r="W11" s="10">
        <v>0.0</v>
      </c>
      <c r="X11" s="10">
        <v>6.0</v>
      </c>
    </row>
    <row r="12">
      <c r="A12" s="11">
        <v>1.0</v>
      </c>
      <c r="B12" s="12" t="s">
        <v>26</v>
      </c>
      <c r="C12" s="12">
        <v>10.0</v>
      </c>
      <c r="D12" s="11" t="s">
        <v>34</v>
      </c>
      <c r="E12" s="12" t="s">
        <v>26</v>
      </c>
      <c r="F12" s="12">
        <v>21.0</v>
      </c>
      <c r="G12" s="12" t="s">
        <v>77</v>
      </c>
      <c r="H12" s="12" t="s">
        <v>38</v>
      </c>
      <c r="I12" s="12" t="s">
        <v>39</v>
      </c>
      <c r="J12" s="10">
        <v>10.0</v>
      </c>
      <c r="K12" s="12">
        <v>26.0</v>
      </c>
      <c r="L12" s="12">
        <v>30.0</v>
      </c>
      <c r="M12" s="12">
        <v>4.0</v>
      </c>
      <c r="N12" s="12" t="s">
        <v>54</v>
      </c>
      <c r="O12" s="12">
        <f t="shared" si="1"/>
        <v>6</v>
      </c>
      <c r="P12" s="14">
        <v>0.974109</v>
      </c>
      <c r="Q12" s="14">
        <v>0.901683</v>
      </c>
      <c r="R12" s="14">
        <v>-0.07243</v>
      </c>
      <c r="S12" s="12">
        <v>55.0</v>
      </c>
      <c r="T12" s="12" t="s">
        <v>28</v>
      </c>
      <c r="U12" s="12" t="s">
        <v>78</v>
      </c>
      <c r="V12" s="12" t="str">
        <f t="shared" ref="V12:V15" si="4">G12 &amp; "para " &amp; M12 &amp; " yardas, " &amp; N12</f>
        <v>Eduardo Martínez Alvaradopara 4 yardas, 2do down</v>
      </c>
      <c r="W12" s="10">
        <v>0.0</v>
      </c>
      <c r="X12" s="10">
        <v>6.0</v>
      </c>
    </row>
    <row r="13">
      <c r="A13" s="11">
        <v>1.0</v>
      </c>
      <c r="B13" s="12" t="s">
        <v>26</v>
      </c>
      <c r="C13" s="12">
        <v>10.0</v>
      </c>
      <c r="D13" s="11" t="s">
        <v>34</v>
      </c>
      <c r="E13" s="12" t="s">
        <v>26</v>
      </c>
      <c r="F13" s="12">
        <v>21.0</v>
      </c>
      <c r="G13" s="12" t="s">
        <v>77</v>
      </c>
      <c r="H13" s="12" t="s">
        <v>38</v>
      </c>
      <c r="I13" s="12" t="s">
        <v>58</v>
      </c>
      <c r="J13" s="12">
        <f>J12-M12</f>
        <v>6</v>
      </c>
      <c r="K13" s="12">
        <v>30.0</v>
      </c>
      <c r="L13" s="12">
        <v>47.0</v>
      </c>
      <c r="M13" s="12">
        <v>17.0</v>
      </c>
      <c r="N13" s="12" t="s">
        <v>48</v>
      </c>
      <c r="O13" s="12">
        <f t="shared" si="1"/>
        <v>10</v>
      </c>
      <c r="P13" s="14">
        <v>0.901683</v>
      </c>
      <c r="Q13" s="14">
        <v>2.539039</v>
      </c>
      <c r="R13" s="14">
        <v>1.637356</v>
      </c>
      <c r="S13" s="12">
        <v>29.0</v>
      </c>
      <c r="T13" s="12" t="s">
        <v>28</v>
      </c>
      <c r="U13" s="12" t="s">
        <v>80</v>
      </c>
      <c r="V13" s="12" t="str">
        <f t="shared" si="4"/>
        <v>Eduardo Martínez Alvaradopara 17 yardas, 1er down</v>
      </c>
      <c r="W13" s="10">
        <v>0.0</v>
      </c>
      <c r="X13" s="10">
        <v>6.0</v>
      </c>
    </row>
    <row r="14">
      <c r="A14" s="11">
        <v>1.0</v>
      </c>
      <c r="B14" s="12" t="s">
        <v>26</v>
      </c>
      <c r="C14" s="12">
        <v>10.0</v>
      </c>
      <c r="D14" s="11" t="s">
        <v>34</v>
      </c>
      <c r="E14" s="12" t="s">
        <v>26</v>
      </c>
      <c r="F14" s="12">
        <v>31.0</v>
      </c>
      <c r="G14" s="11" t="s">
        <v>35</v>
      </c>
      <c r="H14" s="12" t="s">
        <v>38</v>
      </c>
      <c r="I14" s="12" t="s">
        <v>39</v>
      </c>
      <c r="J14" s="10">
        <v>10.0</v>
      </c>
      <c r="K14" s="12">
        <v>47.0</v>
      </c>
      <c r="L14" s="12">
        <v>-47.0</v>
      </c>
      <c r="M14" s="12">
        <v>6.0</v>
      </c>
      <c r="N14" s="12" t="s">
        <v>54</v>
      </c>
      <c r="O14" s="12">
        <f t="shared" si="1"/>
        <v>4</v>
      </c>
      <c r="P14" s="14">
        <v>2.539039</v>
      </c>
      <c r="Q14" s="14">
        <v>2.768876</v>
      </c>
      <c r="R14" s="14">
        <v>0.229837</v>
      </c>
      <c r="S14" s="12">
        <v>29.0</v>
      </c>
      <c r="T14" s="12" t="s">
        <v>28</v>
      </c>
      <c r="U14" s="12" t="s">
        <v>80</v>
      </c>
      <c r="V14" s="12" t="str">
        <f t="shared" si="4"/>
        <v>Ángel Alvarado para 6 yardas, 2do down</v>
      </c>
      <c r="W14" s="10">
        <v>0.0</v>
      </c>
      <c r="X14" s="10">
        <v>6.0</v>
      </c>
    </row>
    <row r="15">
      <c r="A15" s="11">
        <v>1.0</v>
      </c>
      <c r="B15" s="12" t="s">
        <v>26</v>
      </c>
      <c r="C15" s="12">
        <v>10.0</v>
      </c>
      <c r="D15" s="11" t="s">
        <v>34</v>
      </c>
      <c r="E15" s="12" t="s">
        <v>26</v>
      </c>
      <c r="F15" s="12">
        <v>31.0</v>
      </c>
      <c r="G15" s="11" t="s">
        <v>35</v>
      </c>
      <c r="H15" s="12" t="s">
        <v>38</v>
      </c>
      <c r="I15" s="12" t="s">
        <v>58</v>
      </c>
      <c r="J15" s="12">
        <f>J14-M14</f>
        <v>4</v>
      </c>
      <c r="K15" s="12">
        <v>-47.0</v>
      </c>
      <c r="L15" s="12">
        <v>-43.0</v>
      </c>
      <c r="M15" s="12">
        <v>4.0</v>
      </c>
      <c r="N15" s="12" t="s">
        <v>48</v>
      </c>
      <c r="O15" s="12">
        <f t="shared" si="1"/>
        <v>10</v>
      </c>
      <c r="P15" s="14">
        <v>2.768876</v>
      </c>
      <c r="Q15" s="14">
        <v>3.064499</v>
      </c>
      <c r="R15" s="14">
        <v>0.295623</v>
      </c>
      <c r="S15" s="12">
        <v>72.0</v>
      </c>
      <c r="T15" s="12" t="s">
        <v>28</v>
      </c>
      <c r="U15" s="12" t="s">
        <v>83</v>
      </c>
      <c r="V15" s="12" t="str">
        <f t="shared" si="4"/>
        <v>Ángel Alvarado para 4 yardas, 1er down</v>
      </c>
      <c r="W15" s="10">
        <v>0.0</v>
      </c>
      <c r="X15" s="10">
        <v>6.0</v>
      </c>
    </row>
    <row r="16">
      <c r="A16" s="11">
        <v>1.0</v>
      </c>
      <c r="B16" s="12" t="s">
        <v>26</v>
      </c>
      <c r="C16" s="12">
        <v>10.0</v>
      </c>
      <c r="D16" s="11" t="s">
        <v>34</v>
      </c>
      <c r="E16" s="12" t="s">
        <v>26</v>
      </c>
      <c r="F16" s="12">
        <v>20.0</v>
      </c>
      <c r="G16" s="10" t="s">
        <v>85</v>
      </c>
      <c r="H16" s="12" t="s">
        <v>53</v>
      </c>
      <c r="I16" s="12" t="s">
        <v>39</v>
      </c>
      <c r="J16" s="10">
        <v>10.0</v>
      </c>
      <c r="K16" s="12">
        <v>-43.0</v>
      </c>
      <c r="L16" s="12">
        <v>-37.0</v>
      </c>
      <c r="M16" s="12">
        <v>6.0</v>
      </c>
      <c r="N16" s="12" t="s">
        <v>54</v>
      </c>
      <c r="O16" s="12">
        <f t="shared" si="1"/>
        <v>4</v>
      </c>
      <c r="P16" s="14">
        <v>3.064499</v>
      </c>
      <c r="Q16" s="14">
        <v>3.284751</v>
      </c>
      <c r="R16" s="14">
        <v>0.220252</v>
      </c>
      <c r="S16" s="12">
        <v>2.0</v>
      </c>
      <c r="T16" s="12" t="s">
        <v>28</v>
      </c>
      <c r="U16" s="12" t="s">
        <v>86</v>
      </c>
      <c r="V16" s="12" t="str">
        <f>D16 &amp; H16 &amp; " completo para " &amp;G16 &amp; "para " &amp; M16 &amp; " yardas" </f>
        <v>Sergio Resendiz Pase completo para Jorge Luis Chaib De León para 6 yardas</v>
      </c>
      <c r="W16" s="10">
        <v>0.0</v>
      </c>
      <c r="X16" s="10">
        <v>6.0</v>
      </c>
    </row>
    <row r="17">
      <c r="A17" s="11">
        <v>1.0</v>
      </c>
      <c r="B17" s="12" t="s">
        <v>26</v>
      </c>
      <c r="C17" s="12">
        <v>10.0</v>
      </c>
      <c r="D17" s="11" t="s">
        <v>34</v>
      </c>
      <c r="E17" s="12" t="s">
        <v>26</v>
      </c>
      <c r="F17" s="12">
        <v>21.0</v>
      </c>
      <c r="G17" s="12" t="s">
        <v>77</v>
      </c>
      <c r="H17" s="12" t="s">
        <v>38</v>
      </c>
      <c r="I17" s="12" t="s">
        <v>58</v>
      </c>
      <c r="J17" s="12">
        <f>J16-M16</f>
        <v>4</v>
      </c>
      <c r="K17" s="12">
        <v>-37.0</v>
      </c>
      <c r="L17" s="12">
        <v>-33.0</v>
      </c>
      <c r="M17" s="12">
        <v>4.0</v>
      </c>
      <c r="N17" s="12" t="s">
        <v>48</v>
      </c>
      <c r="O17" s="12">
        <f t="shared" si="1"/>
        <v>10</v>
      </c>
      <c r="P17" s="14">
        <v>3.284751</v>
      </c>
      <c r="Q17" s="14">
        <v>3.57792</v>
      </c>
      <c r="R17" s="14">
        <v>0.293169</v>
      </c>
      <c r="S17" s="12">
        <v>2.0</v>
      </c>
      <c r="T17" s="12" t="s">
        <v>28</v>
      </c>
      <c r="U17" s="12" t="s">
        <v>86</v>
      </c>
      <c r="V17" s="12" t="str">
        <f t="shared" ref="V17:V20" si="5">G17 &amp; "para " &amp; M17 &amp; " yardas, " &amp; N17</f>
        <v>Eduardo Martínez Alvaradopara 4 yardas, 1er down</v>
      </c>
      <c r="W17" s="10">
        <v>0.0</v>
      </c>
      <c r="X17" s="10">
        <v>6.0</v>
      </c>
    </row>
    <row r="18">
      <c r="A18" s="11">
        <v>1.0</v>
      </c>
      <c r="B18" s="12" t="s">
        <v>26</v>
      </c>
      <c r="C18" s="12">
        <v>10.0</v>
      </c>
      <c r="D18" s="11" t="s">
        <v>34</v>
      </c>
      <c r="E18" s="12" t="s">
        <v>26</v>
      </c>
      <c r="F18" s="12">
        <v>31.0</v>
      </c>
      <c r="G18" s="11" t="s">
        <v>35</v>
      </c>
      <c r="H18" s="12" t="s">
        <v>38</v>
      </c>
      <c r="I18" s="12" t="s">
        <v>39</v>
      </c>
      <c r="J18" s="10">
        <v>10.0</v>
      </c>
      <c r="K18" s="12">
        <v>-33.0</v>
      </c>
      <c r="L18" s="12">
        <v>-30.0</v>
      </c>
      <c r="M18" s="12">
        <v>3.0</v>
      </c>
      <c r="N18" s="12" t="s">
        <v>54</v>
      </c>
      <c r="O18" s="12">
        <f t="shared" si="1"/>
        <v>7</v>
      </c>
      <c r="P18" s="14">
        <v>3.57792</v>
      </c>
      <c r="Q18" s="14">
        <v>3.590104</v>
      </c>
      <c r="R18" s="14">
        <v>0.012184</v>
      </c>
      <c r="S18" s="12">
        <v>27.0</v>
      </c>
      <c r="T18" s="12" t="s">
        <v>28</v>
      </c>
      <c r="U18" s="12" t="s">
        <v>89</v>
      </c>
      <c r="V18" s="12" t="str">
        <f t="shared" si="5"/>
        <v>Ángel Alvarado para 3 yardas, 2do down</v>
      </c>
      <c r="W18" s="10">
        <v>0.0</v>
      </c>
      <c r="X18" s="10">
        <v>6.0</v>
      </c>
    </row>
    <row r="19">
      <c r="A19" s="11">
        <v>1.0</v>
      </c>
      <c r="B19" s="12" t="s">
        <v>26</v>
      </c>
      <c r="C19" s="12">
        <v>10.0</v>
      </c>
      <c r="D19" s="11" t="s">
        <v>34</v>
      </c>
      <c r="E19" s="12" t="s">
        <v>26</v>
      </c>
      <c r="F19" s="12">
        <v>31.0</v>
      </c>
      <c r="G19" s="11" t="s">
        <v>35</v>
      </c>
      <c r="H19" s="12" t="s">
        <v>38</v>
      </c>
      <c r="I19" s="12" t="s">
        <v>58</v>
      </c>
      <c r="J19" s="12">
        <f t="shared" ref="J19:J21" si="6">J18-M18</f>
        <v>7</v>
      </c>
      <c r="K19" s="12">
        <v>-30.0</v>
      </c>
      <c r="L19" s="12">
        <v>-27.0</v>
      </c>
      <c r="M19" s="12">
        <v>3.0</v>
      </c>
      <c r="N19" s="12" t="s">
        <v>64</v>
      </c>
      <c r="O19" s="12">
        <f t="shared" si="1"/>
        <v>4</v>
      </c>
      <c r="P19" s="14">
        <v>3.590104</v>
      </c>
      <c r="Q19" s="14">
        <v>3.076431</v>
      </c>
      <c r="R19" s="14">
        <v>-0.51367</v>
      </c>
      <c r="S19" s="12">
        <v>72.0</v>
      </c>
      <c r="T19" s="12" t="s">
        <v>28</v>
      </c>
      <c r="U19" s="12" t="s">
        <v>83</v>
      </c>
      <c r="V19" s="12" t="str">
        <f t="shared" si="5"/>
        <v>Ángel Alvarado para 3 yardas, 3er down</v>
      </c>
      <c r="W19" s="10">
        <v>0.0</v>
      </c>
      <c r="X19" s="10">
        <v>6.0</v>
      </c>
    </row>
    <row r="20">
      <c r="A20" s="11">
        <v>1.0</v>
      </c>
      <c r="B20" s="12" t="s">
        <v>26</v>
      </c>
      <c r="C20" s="12">
        <v>10.0</v>
      </c>
      <c r="D20" s="11" t="s">
        <v>34</v>
      </c>
      <c r="E20" s="12" t="s">
        <v>26</v>
      </c>
      <c r="F20" s="12">
        <v>10.0</v>
      </c>
      <c r="G20" s="11" t="s">
        <v>34</v>
      </c>
      <c r="H20" s="12" t="s">
        <v>38</v>
      </c>
      <c r="I20" s="12" t="s">
        <v>69</v>
      </c>
      <c r="J20" s="12">
        <f t="shared" si="6"/>
        <v>4</v>
      </c>
      <c r="K20" s="12">
        <v>-27.0</v>
      </c>
      <c r="L20" s="12">
        <v>-29.0</v>
      </c>
      <c r="M20" s="12">
        <v>-2.0</v>
      </c>
      <c r="N20" s="12" t="s">
        <v>70</v>
      </c>
      <c r="O20" s="12">
        <f t="shared" si="1"/>
        <v>6</v>
      </c>
      <c r="P20" s="14">
        <v>3.076431</v>
      </c>
      <c r="Q20" s="14">
        <v>1.706444</v>
      </c>
      <c r="R20" s="14">
        <v>-1.36999</v>
      </c>
      <c r="S20" s="12">
        <v>2.0</v>
      </c>
      <c r="T20" s="12" t="s">
        <v>28</v>
      </c>
      <c r="U20" s="12" t="s">
        <v>86</v>
      </c>
      <c r="V20" s="12" t="str">
        <f t="shared" si="5"/>
        <v>Sergio Resendiz para -2 yardas, 4to down</v>
      </c>
      <c r="W20" s="10">
        <f t="shared" ref="W20:X20" si="7">W19</f>
        <v>0</v>
      </c>
      <c r="X20" s="10">
        <f t="shared" si="7"/>
        <v>6</v>
      </c>
    </row>
    <row r="21">
      <c r="A21" s="11">
        <v>1.0</v>
      </c>
      <c r="B21" s="12" t="s">
        <v>26</v>
      </c>
      <c r="C21" s="12" t="s">
        <v>27</v>
      </c>
      <c r="D21" s="12" t="s">
        <v>27</v>
      </c>
      <c r="E21" s="12" t="s">
        <v>26</v>
      </c>
      <c r="F21" s="12">
        <v>42.0</v>
      </c>
      <c r="G21" s="10" t="s">
        <v>93</v>
      </c>
      <c r="H21" s="12" t="s">
        <v>94</v>
      </c>
      <c r="I21" s="12" t="s">
        <v>74</v>
      </c>
      <c r="J21" s="12">
        <f t="shared" si="6"/>
        <v>6</v>
      </c>
      <c r="K21" s="12">
        <v>-36.0</v>
      </c>
      <c r="L21" s="12">
        <v>0.0</v>
      </c>
      <c r="M21" s="12">
        <v>46.0</v>
      </c>
      <c r="N21" s="12" t="s">
        <v>95</v>
      </c>
      <c r="O21" s="12" t="str">
        <f t="shared" si="1"/>
        <v/>
      </c>
      <c r="P21" s="14">
        <v>1.706444</v>
      </c>
      <c r="Q21" s="13">
        <v>3.0</v>
      </c>
      <c r="R21" s="14">
        <f>Q21-P21</f>
        <v>1.293556</v>
      </c>
      <c r="S21" s="12" t="s">
        <v>27</v>
      </c>
      <c r="T21" s="12" t="s">
        <v>27</v>
      </c>
      <c r="U21" s="12" t="s">
        <v>27</v>
      </c>
      <c r="V21" s="12" t="str">
        <f>G21 &amp; N21</f>
        <v>Reynaldo Adolfo Blanco Palomo FG bueno</v>
      </c>
      <c r="W21" s="10">
        <v>0.0</v>
      </c>
      <c r="X21" s="10">
        <v>9.0</v>
      </c>
    </row>
    <row r="22">
      <c r="A22" s="11">
        <v>1.0</v>
      </c>
      <c r="B22" s="12" t="s">
        <v>26</v>
      </c>
      <c r="C22" s="12" t="s">
        <v>27</v>
      </c>
      <c r="D22" s="12" t="s">
        <v>27</v>
      </c>
      <c r="E22" s="12" t="s">
        <v>26</v>
      </c>
      <c r="F22" s="12">
        <v>42.0</v>
      </c>
      <c r="G22" s="12" t="s">
        <v>42</v>
      </c>
      <c r="H22" s="12" t="s">
        <v>31</v>
      </c>
      <c r="I22" s="12" t="s">
        <v>27</v>
      </c>
      <c r="J22" s="12"/>
      <c r="K22" s="12">
        <v>35.0</v>
      </c>
      <c r="L22" s="12">
        <v>-4.0</v>
      </c>
      <c r="M22" s="12">
        <v>61.0</v>
      </c>
      <c r="N22" s="12" t="s">
        <v>167</v>
      </c>
      <c r="O22" s="12" t="str">
        <f t="shared" si="1"/>
        <v/>
      </c>
      <c r="P22" s="15"/>
      <c r="Q22" s="15"/>
      <c r="R22" s="14">
        <v>0.0</v>
      </c>
      <c r="S22" s="12" t="s">
        <v>27</v>
      </c>
      <c r="T22" s="12" t="s">
        <v>27</v>
      </c>
      <c r="U22" s="12" t="s">
        <v>27</v>
      </c>
      <c r="V22" s="12" t="str">
        <f>G22 &amp; " kicks off " &amp; M22 &amp; " yardas, " &amp; N22 &amp; " por " &amp; G23 &amp; " para " &amp; M23 &amp; " yardas"</f>
        <v>Reynaldo Adolfo Blanco Palomo kicks off 61 yardas, Regreso por Fernando Tonda para 22 yardas</v>
      </c>
      <c r="W22" s="10">
        <f t="shared" ref="W22:W29" si="8">W21</f>
        <v>0</v>
      </c>
      <c r="X22" s="10">
        <v>9.0</v>
      </c>
    </row>
    <row r="23">
      <c r="A23" s="11">
        <v>1.0</v>
      </c>
      <c r="B23" s="12" t="s">
        <v>28</v>
      </c>
      <c r="C23" s="12" t="s">
        <v>27</v>
      </c>
      <c r="D23" s="12" t="s">
        <v>27</v>
      </c>
      <c r="E23" s="12" t="s">
        <v>28</v>
      </c>
      <c r="F23" s="12">
        <v>81.0</v>
      </c>
      <c r="G23" s="11" t="s">
        <v>46</v>
      </c>
      <c r="H23" s="12" t="s">
        <v>47</v>
      </c>
      <c r="I23" s="12" t="s">
        <v>27</v>
      </c>
      <c r="J23" s="12"/>
      <c r="K23" s="12">
        <v>4.0</v>
      </c>
      <c r="L23" s="12">
        <v>26.0</v>
      </c>
      <c r="M23" s="12">
        <v>22.0</v>
      </c>
      <c r="N23" s="12" t="s">
        <v>48</v>
      </c>
      <c r="O23" s="12">
        <f t="shared" si="1"/>
        <v>10</v>
      </c>
      <c r="P23" s="13">
        <v>0.0</v>
      </c>
      <c r="Q23" s="14">
        <v>0.974109</v>
      </c>
      <c r="R23" s="14">
        <f>Q23-P23</f>
        <v>0.974109</v>
      </c>
      <c r="S23" s="12">
        <v>27.0</v>
      </c>
      <c r="T23" s="12" t="s">
        <v>26</v>
      </c>
      <c r="U23" s="12" t="s">
        <v>97</v>
      </c>
      <c r="V23" s="12" t="s">
        <v>98</v>
      </c>
      <c r="W23" s="10">
        <f t="shared" si="8"/>
        <v>0</v>
      </c>
      <c r="X23" s="10">
        <v>9.0</v>
      </c>
    </row>
    <row r="24">
      <c r="A24" s="11">
        <v>1.0</v>
      </c>
      <c r="B24" s="12" t="s">
        <v>28</v>
      </c>
      <c r="C24" s="12">
        <v>15.0</v>
      </c>
      <c r="D24" s="11" t="s">
        <v>51</v>
      </c>
      <c r="E24" s="12" t="s">
        <v>28</v>
      </c>
      <c r="F24" s="12">
        <v>23.0</v>
      </c>
      <c r="G24" s="11" t="s">
        <v>61</v>
      </c>
      <c r="H24" s="12" t="s">
        <v>38</v>
      </c>
      <c r="I24" s="12" t="s">
        <v>39</v>
      </c>
      <c r="J24" s="10">
        <v>10.0</v>
      </c>
      <c r="K24" s="12">
        <v>26.0</v>
      </c>
      <c r="L24" s="12">
        <v>26.0</v>
      </c>
      <c r="M24" s="12">
        <v>0.0</v>
      </c>
      <c r="N24" s="12" t="s">
        <v>54</v>
      </c>
      <c r="O24" s="12">
        <f t="shared" si="1"/>
        <v>10</v>
      </c>
      <c r="P24" s="14">
        <v>0.974109</v>
      </c>
      <c r="Q24" s="14">
        <v>0.34483</v>
      </c>
      <c r="R24" s="14">
        <v>-0.62928</v>
      </c>
      <c r="S24" s="12">
        <v>7.0</v>
      </c>
      <c r="T24" s="12" t="s">
        <v>26</v>
      </c>
      <c r="U24" s="12" t="s">
        <v>99</v>
      </c>
      <c r="V24" s="12" t="str">
        <f>G24 &amp; "para " &amp; M24 &amp; " yardas, " &amp; N24</f>
        <v>Alejandro Cruz para 0 yardas, 2do down</v>
      </c>
      <c r="W24" s="10">
        <f t="shared" si="8"/>
        <v>0</v>
      </c>
      <c r="X24" s="10">
        <v>9.0</v>
      </c>
    </row>
    <row r="25">
      <c r="A25" s="11">
        <v>1.0</v>
      </c>
      <c r="B25" s="12" t="s">
        <v>28</v>
      </c>
      <c r="C25" s="12">
        <v>15.0</v>
      </c>
      <c r="D25" s="11" t="s">
        <v>51</v>
      </c>
      <c r="E25" s="12" t="s">
        <v>28</v>
      </c>
      <c r="F25" s="12">
        <v>4.0</v>
      </c>
      <c r="G25" s="11" t="s">
        <v>52</v>
      </c>
      <c r="H25" s="12" t="s">
        <v>53</v>
      </c>
      <c r="I25" s="12" t="s">
        <v>58</v>
      </c>
      <c r="J25" s="12">
        <f>J24-M24</f>
        <v>10</v>
      </c>
      <c r="K25" s="12">
        <v>26.0</v>
      </c>
      <c r="L25" s="12">
        <v>46.0</v>
      </c>
      <c r="M25" s="12">
        <v>20.0</v>
      </c>
      <c r="N25" s="12" t="s">
        <v>48</v>
      </c>
      <c r="O25" s="12">
        <f t="shared" si="1"/>
        <v>10</v>
      </c>
      <c r="P25" s="14">
        <v>0.34483</v>
      </c>
      <c r="Q25" s="14">
        <v>2.468226</v>
      </c>
      <c r="R25" s="14">
        <v>2.123396</v>
      </c>
      <c r="S25" s="12" t="s">
        <v>27</v>
      </c>
      <c r="T25" s="12" t="s">
        <v>27</v>
      </c>
      <c r="U25" s="12" t="s">
        <v>27</v>
      </c>
      <c r="V25" s="12" t="str">
        <f t="shared" ref="V25:V26" si="9">D25 &amp; H25 &amp; " completo para " &amp;G25 &amp; "para " &amp; M25 &amp; " yardas" </f>
        <v>Fernando Sarabia Pase completo para Víctor Palacios para 20 yardas</v>
      </c>
      <c r="W25" s="10">
        <f t="shared" si="8"/>
        <v>0</v>
      </c>
      <c r="X25" s="10">
        <v>9.0</v>
      </c>
    </row>
    <row r="26">
      <c r="A26" s="11">
        <v>1.0</v>
      </c>
      <c r="B26" s="12" t="s">
        <v>28</v>
      </c>
      <c r="C26" s="12">
        <v>15.0</v>
      </c>
      <c r="D26" s="11" t="s">
        <v>51</v>
      </c>
      <c r="E26" s="12" t="s">
        <v>28</v>
      </c>
      <c r="F26" s="12">
        <v>82.0</v>
      </c>
      <c r="G26" s="11" t="s">
        <v>102</v>
      </c>
      <c r="H26" s="12" t="s">
        <v>53</v>
      </c>
      <c r="I26" s="12" t="s">
        <v>39</v>
      </c>
      <c r="J26" s="10">
        <v>10.0</v>
      </c>
      <c r="K26" s="12">
        <v>46.0</v>
      </c>
      <c r="L26" s="12">
        <v>-38.0</v>
      </c>
      <c r="M26" s="12">
        <v>16.0</v>
      </c>
      <c r="N26" s="12" t="s">
        <v>48</v>
      </c>
      <c r="O26" s="12">
        <f t="shared" si="1"/>
        <v>10</v>
      </c>
      <c r="P26" s="14">
        <v>2.468226</v>
      </c>
      <c r="Q26" s="14">
        <v>3.381307</v>
      </c>
      <c r="R26" s="14">
        <v>0.913081</v>
      </c>
      <c r="S26" s="12">
        <v>0.0</v>
      </c>
      <c r="T26" s="12" t="s">
        <v>26</v>
      </c>
      <c r="U26" s="12" t="s">
        <v>103</v>
      </c>
      <c r="V26" s="12" t="str">
        <f t="shared" si="9"/>
        <v>Fernando Sarabia Pase completo para Mauricio Santos para 16 yardas</v>
      </c>
      <c r="W26" s="10">
        <f t="shared" si="8"/>
        <v>0</v>
      </c>
      <c r="X26" s="10">
        <v>9.0</v>
      </c>
    </row>
    <row r="27">
      <c r="A27" s="11">
        <v>1.0</v>
      </c>
      <c r="B27" s="12" t="s">
        <v>28</v>
      </c>
      <c r="C27" s="12">
        <v>15.0</v>
      </c>
      <c r="D27" s="11" t="s">
        <v>51</v>
      </c>
      <c r="E27" s="12" t="s">
        <v>28</v>
      </c>
      <c r="F27" s="12">
        <v>15.0</v>
      </c>
      <c r="G27" s="11" t="s">
        <v>51</v>
      </c>
      <c r="H27" s="12" t="s">
        <v>38</v>
      </c>
      <c r="I27" s="12" t="s">
        <v>39</v>
      </c>
      <c r="J27" s="10">
        <v>10.0</v>
      </c>
      <c r="K27" s="12">
        <v>-38.0</v>
      </c>
      <c r="L27" s="12">
        <v>-29.0</v>
      </c>
      <c r="M27" s="12">
        <v>9.0</v>
      </c>
      <c r="N27" s="12" t="s">
        <v>54</v>
      </c>
      <c r="O27" s="12">
        <f t="shared" si="1"/>
        <v>1</v>
      </c>
      <c r="P27" s="14">
        <v>3.381307</v>
      </c>
      <c r="Q27" s="14">
        <v>3.978036</v>
      </c>
      <c r="R27" s="14">
        <v>0.596729</v>
      </c>
      <c r="S27" s="12">
        <v>35.0</v>
      </c>
      <c r="T27" s="12" t="s">
        <v>26</v>
      </c>
      <c r="U27" s="12" t="s">
        <v>55</v>
      </c>
      <c r="V27" s="12" t="str">
        <f>G27 &amp; "para " &amp; M27 &amp; " yardas"</f>
        <v>Fernando Sarabia para 9 yardas</v>
      </c>
      <c r="W27" s="10">
        <f t="shared" si="8"/>
        <v>0</v>
      </c>
      <c r="X27" s="10">
        <v>9.0</v>
      </c>
    </row>
    <row r="28">
      <c r="A28" s="11">
        <v>1.0</v>
      </c>
      <c r="B28" s="12" t="s">
        <v>28</v>
      </c>
      <c r="C28" s="12" t="s">
        <v>27</v>
      </c>
      <c r="D28" s="12" t="s">
        <v>27</v>
      </c>
      <c r="E28" s="12" t="s">
        <v>28</v>
      </c>
      <c r="F28" s="12" t="s">
        <v>27</v>
      </c>
      <c r="G28" s="12" t="s">
        <v>27</v>
      </c>
      <c r="H28" s="12" t="s">
        <v>106</v>
      </c>
      <c r="I28" s="12" t="s">
        <v>58</v>
      </c>
      <c r="J28" s="12">
        <f t="shared" ref="J28:J29" si="10">J27-M27</f>
        <v>1</v>
      </c>
      <c r="K28" s="12">
        <v>-29.0</v>
      </c>
      <c r="L28" s="12">
        <v>-34.0</v>
      </c>
      <c r="M28" s="12">
        <v>-5.0</v>
      </c>
      <c r="N28" s="12" t="s">
        <v>54</v>
      </c>
      <c r="O28" s="12">
        <f t="shared" si="1"/>
        <v>6</v>
      </c>
      <c r="P28" s="14">
        <v>3.978036</v>
      </c>
      <c r="Q28" s="14">
        <v>3.430596</v>
      </c>
      <c r="R28" s="14">
        <v>-0.54744</v>
      </c>
      <c r="S28" s="12" t="s">
        <v>27</v>
      </c>
      <c r="T28" s="12" t="s">
        <v>27</v>
      </c>
      <c r="U28" s="12" t="s">
        <v>27</v>
      </c>
      <c r="V28" s="12" t="str">
        <f>H28 &amp; ", " &amp; M28 &amp; " yardas"</f>
        <v>Castigo a la ofensiva, -5 yardas</v>
      </c>
      <c r="W28" s="10">
        <f t="shared" si="8"/>
        <v>0</v>
      </c>
      <c r="X28" s="10">
        <v>9.0</v>
      </c>
    </row>
    <row r="29">
      <c r="A29" s="11">
        <v>1.0</v>
      </c>
      <c r="B29" s="12" t="s">
        <v>28</v>
      </c>
      <c r="C29" s="12">
        <v>15.0</v>
      </c>
      <c r="D29" s="11" t="s">
        <v>51</v>
      </c>
      <c r="E29" s="12" t="s">
        <v>26</v>
      </c>
      <c r="F29" s="12">
        <v>35.0</v>
      </c>
      <c r="G29" s="12" t="s">
        <v>55</v>
      </c>
      <c r="H29" s="12" t="s">
        <v>108</v>
      </c>
      <c r="I29" s="12" t="s">
        <v>58</v>
      </c>
      <c r="J29" s="12">
        <f t="shared" si="10"/>
        <v>6</v>
      </c>
      <c r="K29" s="12">
        <v>-34.0</v>
      </c>
      <c r="L29" s="12">
        <v>-24.0</v>
      </c>
      <c r="M29" s="12">
        <v>10.0</v>
      </c>
      <c r="N29" s="12" t="s">
        <v>109</v>
      </c>
      <c r="O29" s="12" t="str">
        <f>#REF!</f>
        <v>#REF!</v>
      </c>
      <c r="P29" s="14">
        <v>3.430596</v>
      </c>
      <c r="Q29" s="13">
        <v>-1.86</v>
      </c>
      <c r="R29" s="14">
        <f>Q29-P29</f>
        <v>-5.290596</v>
      </c>
      <c r="S29" s="12">
        <v>11.0</v>
      </c>
      <c r="T29" s="12" t="s">
        <v>28</v>
      </c>
      <c r="U29" s="12" t="s">
        <v>110</v>
      </c>
      <c r="V29" s="12" t="str">
        <f>D29 &amp; H29 &amp; " por " &amp; G29</f>
        <v>Fernando Sarabia Pase INT por Juan Pablo Mandujano Castruita</v>
      </c>
      <c r="W29" s="10">
        <f t="shared" si="8"/>
        <v>0</v>
      </c>
      <c r="X29" s="10">
        <v>9.0</v>
      </c>
    </row>
    <row r="30">
      <c r="A30" s="11">
        <v>1.0</v>
      </c>
      <c r="B30" s="12" t="s">
        <v>26</v>
      </c>
      <c r="C30" s="12">
        <v>10.0</v>
      </c>
      <c r="D30" s="11" t="s">
        <v>34</v>
      </c>
      <c r="E30" s="12" t="s">
        <v>26</v>
      </c>
      <c r="F30" s="12">
        <v>31.0</v>
      </c>
      <c r="G30" s="11" t="s">
        <v>35</v>
      </c>
      <c r="H30" s="12" t="s">
        <v>38</v>
      </c>
      <c r="I30" s="12" t="s">
        <v>39</v>
      </c>
      <c r="J30" s="10">
        <v>10.0</v>
      </c>
      <c r="K30" s="12">
        <v>37.0</v>
      </c>
      <c r="L30" s="12">
        <v>41.0</v>
      </c>
      <c r="M30" s="12">
        <v>4.0</v>
      </c>
      <c r="N30" s="12" t="s">
        <v>54</v>
      </c>
      <c r="O30" s="12">
        <f t="shared" ref="O30:O173" si="11">J31</f>
        <v>6</v>
      </c>
      <c r="P30" s="14">
        <v>1.857162</v>
      </c>
      <c r="Q30" s="14">
        <v>1.80272</v>
      </c>
      <c r="R30" s="14">
        <v>-0.05444</v>
      </c>
      <c r="S30" s="12">
        <v>3.0</v>
      </c>
      <c r="T30" s="12" t="s">
        <v>28</v>
      </c>
      <c r="U30" s="12" t="s">
        <v>112</v>
      </c>
      <c r="V30" s="12" t="str">
        <f t="shared" ref="V30:V31" si="12">G30 &amp; "para " &amp; M30 &amp; " yardas, " &amp; N30</f>
        <v>Ángel Alvarado para 4 yardas, 2do down</v>
      </c>
      <c r="W30" s="10">
        <v>0.0</v>
      </c>
      <c r="X30" s="10">
        <v>9.0</v>
      </c>
    </row>
    <row r="31">
      <c r="A31" s="11">
        <v>1.0</v>
      </c>
      <c r="B31" s="12" t="s">
        <v>26</v>
      </c>
      <c r="C31" s="12">
        <v>10.0</v>
      </c>
      <c r="D31" s="11" t="s">
        <v>34</v>
      </c>
      <c r="E31" s="12" t="s">
        <v>26</v>
      </c>
      <c r="F31" s="12">
        <v>31.0</v>
      </c>
      <c r="G31" s="11" t="s">
        <v>35</v>
      </c>
      <c r="H31" s="12" t="s">
        <v>38</v>
      </c>
      <c r="I31" s="12" t="s">
        <v>58</v>
      </c>
      <c r="J31" s="12">
        <f t="shared" ref="J31:J33" si="13">J30-M30</f>
        <v>6</v>
      </c>
      <c r="K31" s="12">
        <v>41.0</v>
      </c>
      <c r="L31" s="12">
        <v>43.0</v>
      </c>
      <c r="M31" s="12">
        <v>2.0</v>
      </c>
      <c r="N31" s="12" t="s">
        <v>64</v>
      </c>
      <c r="O31" s="12">
        <f t="shared" si="11"/>
        <v>4</v>
      </c>
      <c r="P31" s="14">
        <v>1.80272</v>
      </c>
      <c r="Q31" s="14">
        <v>1.363791</v>
      </c>
      <c r="R31" s="14">
        <v>-0.43893</v>
      </c>
      <c r="S31" s="12">
        <v>10.0</v>
      </c>
      <c r="T31" s="12" t="s">
        <v>28</v>
      </c>
      <c r="U31" s="12" t="s">
        <v>114</v>
      </c>
      <c r="V31" s="12" t="str">
        <f t="shared" si="12"/>
        <v>Ángel Alvarado para 2 yardas, 3er down</v>
      </c>
      <c r="W31" s="10">
        <v>0.0</v>
      </c>
      <c r="X31" s="10">
        <v>9.0</v>
      </c>
    </row>
    <row r="32">
      <c r="A32" s="11">
        <v>1.0</v>
      </c>
      <c r="B32" s="12" t="s">
        <v>26</v>
      </c>
      <c r="C32" s="12">
        <v>10.0</v>
      </c>
      <c r="D32" s="11" t="s">
        <v>34</v>
      </c>
      <c r="E32" s="12" t="s">
        <v>26</v>
      </c>
      <c r="F32" s="12">
        <v>82.0</v>
      </c>
      <c r="G32" s="11" t="s">
        <v>116</v>
      </c>
      <c r="H32" s="12" t="s">
        <v>117</v>
      </c>
      <c r="I32" s="12" t="s">
        <v>69</v>
      </c>
      <c r="J32" s="12">
        <f t="shared" si="13"/>
        <v>4</v>
      </c>
      <c r="K32" s="12">
        <v>43.0</v>
      </c>
      <c r="L32" s="12">
        <v>43.0</v>
      </c>
      <c r="M32" s="12">
        <v>0.0</v>
      </c>
      <c r="N32" s="12" t="s">
        <v>70</v>
      </c>
      <c r="O32" s="12">
        <f t="shared" si="11"/>
        <v>4</v>
      </c>
      <c r="P32" s="14">
        <v>1.363791</v>
      </c>
      <c r="Q32" s="14">
        <v>-0.27436</v>
      </c>
      <c r="R32" s="14">
        <v>-1.63815</v>
      </c>
      <c r="S32" s="12" t="s">
        <v>27</v>
      </c>
      <c r="T32" s="12" t="s">
        <v>27</v>
      </c>
      <c r="U32" s="12" t="s">
        <v>27</v>
      </c>
      <c r="V32" s="12" t="str">
        <f>D32 &amp; H32 &amp; " intencionado para " &amp; G32</f>
        <v>Sergio Resendiz Pase incompleto intencionado para Marco Vinicio García </v>
      </c>
      <c r="W32" s="10">
        <v>0.0</v>
      </c>
      <c r="X32" s="10">
        <v>9.0</v>
      </c>
    </row>
    <row r="33">
      <c r="A33" s="11">
        <v>1.0</v>
      </c>
      <c r="B33" s="12" t="s">
        <v>26</v>
      </c>
      <c r="C33" s="12" t="s">
        <v>27</v>
      </c>
      <c r="D33" s="12" t="s">
        <v>27</v>
      </c>
      <c r="E33" s="12" t="s">
        <v>26</v>
      </c>
      <c r="F33" s="12">
        <v>8.0</v>
      </c>
      <c r="G33" s="11" t="s">
        <v>119</v>
      </c>
      <c r="H33" s="12" t="s">
        <v>73</v>
      </c>
      <c r="I33" s="12" t="s">
        <v>74</v>
      </c>
      <c r="J33" s="12">
        <f t="shared" si="13"/>
        <v>4</v>
      </c>
      <c r="K33" s="12">
        <v>29.0</v>
      </c>
      <c r="L33" s="12">
        <v>-22.0</v>
      </c>
      <c r="M33" s="12">
        <v>49.0</v>
      </c>
      <c r="N33" s="12" t="s">
        <v>75</v>
      </c>
      <c r="O33" s="12" t="str">
        <f t="shared" si="11"/>
        <v/>
      </c>
      <c r="P33" s="14">
        <v>-0.27436</v>
      </c>
      <c r="Q33" s="14">
        <v>0.16983</v>
      </c>
      <c r="R33" s="14">
        <f>Q33-P33</f>
        <v>0.44419</v>
      </c>
      <c r="S33" s="12" t="s">
        <v>27</v>
      </c>
      <c r="T33" s="12" t="s">
        <v>27</v>
      </c>
      <c r="U33" s="12" t="s">
        <v>27</v>
      </c>
      <c r="V33" s="12" t="str">
        <f>G33 &amp; H33 &amp; " " &amp; M33 &amp; " yardas, " &amp; N33</f>
        <v>Luis Ángel Olvera Punt 49 yardas, Recepción libre</v>
      </c>
      <c r="W33" s="10">
        <v>0.0</v>
      </c>
      <c r="X33" s="10">
        <v>9.0</v>
      </c>
    </row>
    <row r="34">
      <c r="A34" s="11">
        <v>1.0</v>
      </c>
      <c r="B34" s="12" t="s">
        <v>28</v>
      </c>
      <c r="C34" s="12" t="s">
        <v>27</v>
      </c>
      <c r="D34" s="12" t="s">
        <v>27</v>
      </c>
      <c r="E34" s="12" t="s">
        <v>28</v>
      </c>
      <c r="F34" s="12" t="s">
        <v>27</v>
      </c>
      <c r="G34" s="12" t="s">
        <v>27</v>
      </c>
      <c r="H34" s="12" t="s">
        <v>106</v>
      </c>
      <c r="I34" s="12" t="s">
        <v>39</v>
      </c>
      <c r="J34" s="10"/>
      <c r="K34" s="12">
        <v>22.0</v>
      </c>
      <c r="L34" s="12">
        <v>12.0</v>
      </c>
      <c r="M34" s="12">
        <v>-10.0</v>
      </c>
      <c r="N34" s="12" t="s">
        <v>48</v>
      </c>
      <c r="O34" s="12">
        <f t="shared" si="11"/>
        <v>10</v>
      </c>
      <c r="P34" s="14"/>
      <c r="Q34" s="14"/>
      <c r="R34" s="14"/>
      <c r="S34" s="12" t="s">
        <v>27</v>
      </c>
      <c r="T34" s="12" t="s">
        <v>27</v>
      </c>
      <c r="U34" s="12" t="s">
        <v>27</v>
      </c>
      <c r="V34" s="12" t="str">
        <f>H34 &amp; ", " &amp; M34 &amp; " yardas"</f>
        <v>Castigo a la ofensiva, -10 yardas</v>
      </c>
      <c r="W34" s="10">
        <v>0.0</v>
      </c>
      <c r="X34" s="10">
        <v>9.0</v>
      </c>
    </row>
    <row r="35">
      <c r="A35" s="11">
        <v>2.0</v>
      </c>
      <c r="B35" s="12" t="s">
        <v>28</v>
      </c>
      <c r="C35" s="12">
        <v>15.0</v>
      </c>
      <c r="D35" s="11" t="s">
        <v>51</v>
      </c>
      <c r="E35" s="12" t="s">
        <v>28</v>
      </c>
      <c r="F35" s="12">
        <v>16.0</v>
      </c>
      <c r="G35" s="11" t="s">
        <v>57</v>
      </c>
      <c r="H35" s="12" t="s">
        <v>53</v>
      </c>
      <c r="I35" s="12" t="s">
        <v>39</v>
      </c>
      <c r="J35" s="12">
        <f>J34-M34</f>
        <v>10</v>
      </c>
      <c r="K35" s="12">
        <v>12.0</v>
      </c>
      <c r="L35" s="12">
        <v>24.0</v>
      </c>
      <c r="M35" s="12">
        <v>12.0</v>
      </c>
      <c r="N35" s="12" t="s">
        <v>48</v>
      </c>
      <c r="O35" s="12">
        <f t="shared" si="11"/>
        <v>10</v>
      </c>
      <c r="P35" s="14">
        <v>-0.16983</v>
      </c>
      <c r="Q35" s="14">
        <v>0.806996</v>
      </c>
      <c r="R35" s="14">
        <v>0.976827</v>
      </c>
      <c r="S35" s="12" t="s">
        <v>27</v>
      </c>
      <c r="T35" s="12" t="s">
        <v>27</v>
      </c>
      <c r="U35" s="12" t="s">
        <v>27</v>
      </c>
      <c r="V35" s="12" t="str">
        <f>D35 &amp; H35 &amp; " completo para " &amp;G35 &amp; "para " &amp; M35 &amp; " yardas" </f>
        <v>Fernando Sarabia Pase completo para Miguel Ángel Lozano para 12 yardas</v>
      </c>
      <c r="W35" s="10">
        <v>0.0</v>
      </c>
      <c r="X35" s="10">
        <v>9.0</v>
      </c>
    </row>
    <row r="36">
      <c r="A36" s="11">
        <v>2.0</v>
      </c>
      <c r="B36" s="12" t="s">
        <v>28</v>
      </c>
      <c r="C36" s="12">
        <v>15.0</v>
      </c>
      <c r="D36" s="11" t="s">
        <v>51</v>
      </c>
      <c r="E36" s="12" t="s">
        <v>28</v>
      </c>
      <c r="F36" s="12">
        <v>23.0</v>
      </c>
      <c r="G36" s="11" t="s">
        <v>61</v>
      </c>
      <c r="H36" s="12" t="s">
        <v>38</v>
      </c>
      <c r="I36" s="12" t="s">
        <v>39</v>
      </c>
      <c r="J36" s="10">
        <v>10.0</v>
      </c>
      <c r="K36" s="12">
        <v>24.0</v>
      </c>
      <c r="L36" s="12">
        <v>25.0</v>
      </c>
      <c r="M36" s="12">
        <v>1.0</v>
      </c>
      <c r="N36" s="12" t="s">
        <v>54</v>
      </c>
      <c r="O36" s="12">
        <f t="shared" si="11"/>
        <v>9</v>
      </c>
      <c r="P36" s="14">
        <v>0.806996</v>
      </c>
      <c r="Q36" s="14">
        <v>0.29186</v>
      </c>
      <c r="R36" s="14">
        <v>-0.51514</v>
      </c>
      <c r="S36" s="12">
        <v>97.0</v>
      </c>
      <c r="T36" s="12" t="s">
        <v>26</v>
      </c>
      <c r="U36" s="12" t="s">
        <v>123</v>
      </c>
      <c r="V36" s="12" t="str">
        <f t="shared" ref="V36:V37" si="14">G36 &amp; "para " &amp; M36 &amp; " yardas, " &amp; N36</f>
        <v>Alejandro Cruz para 1 yardas, 2do down</v>
      </c>
      <c r="W36" s="10">
        <v>0.0</v>
      </c>
      <c r="X36" s="10">
        <v>9.0</v>
      </c>
    </row>
    <row r="37">
      <c r="A37" s="11">
        <v>2.0</v>
      </c>
      <c r="B37" s="12" t="s">
        <v>28</v>
      </c>
      <c r="C37" s="12">
        <v>15.0</v>
      </c>
      <c r="D37" s="11" t="s">
        <v>51</v>
      </c>
      <c r="E37" s="12" t="s">
        <v>28</v>
      </c>
      <c r="F37" s="12">
        <v>15.0</v>
      </c>
      <c r="G37" s="11" t="s">
        <v>51</v>
      </c>
      <c r="H37" s="12" t="s">
        <v>38</v>
      </c>
      <c r="I37" s="12" t="s">
        <v>58</v>
      </c>
      <c r="J37" s="12">
        <f t="shared" ref="J37:J39" si="15">J36-M36</f>
        <v>9</v>
      </c>
      <c r="K37" s="12">
        <v>25.0</v>
      </c>
      <c r="L37" s="12">
        <v>29.0</v>
      </c>
      <c r="M37" s="12">
        <v>4.0</v>
      </c>
      <c r="N37" s="12" t="s">
        <v>64</v>
      </c>
      <c r="O37" s="12">
        <f t="shared" si="11"/>
        <v>5</v>
      </c>
      <c r="P37" s="14">
        <v>0.29186</v>
      </c>
      <c r="Q37" s="14">
        <v>0.10563</v>
      </c>
      <c r="R37" s="14">
        <v>-0.18623</v>
      </c>
      <c r="S37" s="12">
        <v>11.0</v>
      </c>
      <c r="T37" s="12" t="s">
        <v>26</v>
      </c>
      <c r="U37" s="12" t="s">
        <v>125</v>
      </c>
      <c r="V37" s="12" t="str">
        <f t="shared" si="14"/>
        <v>Fernando Sarabia para 4 yardas, 3er down</v>
      </c>
      <c r="W37" s="10">
        <v>0.0</v>
      </c>
      <c r="X37" s="10">
        <v>9.0</v>
      </c>
    </row>
    <row r="38">
      <c r="A38" s="11">
        <v>2.0</v>
      </c>
      <c r="B38" s="12" t="s">
        <v>28</v>
      </c>
      <c r="C38" s="12">
        <v>15.0</v>
      </c>
      <c r="D38" s="11" t="s">
        <v>51</v>
      </c>
      <c r="E38" s="12" t="s">
        <v>28</v>
      </c>
      <c r="F38" s="12">
        <v>4.0</v>
      </c>
      <c r="G38" s="11" t="s">
        <v>52</v>
      </c>
      <c r="H38" s="12" t="s">
        <v>117</v>
      </c>
      <c r="I38" s="12" t="s">
        <v>69</v>
      </c>
      <c r="J38" s="12">
        <f t="shared" si="15"/>
        <v>5</v>
      </c>
      <c r="K38" s="12">
        <v>29.0</v>
      </c>
      <c r="L38" s="12">
        <v>29.0</v>
      </c>
      <c r="M38" s="12">
        <v>0.0</v>
      </c>
      <c r="N38" s="12" t="s">
        <v>70</v>
      </c>
      <c r="O38" s="12">
        <f t="shared" si="11"/>
        <v>5</v>
      </c>
      <c r="P38" s="14">
        <v>0.10563</v>
      </c>
      <c r="Q38" s="14">
        <v>-1.53564</v>
      </c>
      <c r="R38" s="14">
        <v>-1.64127</v>
      </c>
      <c r="S38" s="12" t="s">
        <v>27</v>
      </c>
      <c r="T38" s="12" t="s">
        <v>27</v>
      </c>
      <c r="U38" s="12" t="s">
        <v>27</v>
      </c>
      <c r="V38" s="12" t="str">
        <f>D38 &amp; H38 &amp; " intencionado para " &amp; G38</f>
        <v>Fernando Sarabia Pase incompleto intencionado para Víctor Palacios </v>
      </c>
      <c r="W38" s="10">
        <v>0.0</v>
      </c>
      <c r="X38" s="10">
        <v>9.0</v>
      </c>
    </row>
    <row r="39">
      <c r="A39" s="11">
        <v>2.0</v>
      </c>
      <c r="B39" s="12" t="s">
        <v>28</v>
      </c>
      <c r="C39" s="12" t="s">
        <v>27</v>
      </c>
      <c r="D39" s="12" t="s">
        <v>27</v>
      </c>
      <c r="E39" s="12" t="s">
        <v>28</v>
      </c>
      <c r="F39" s="12">
        <v>87.0</v>
      </c>
      <c r="G39" s="10" t="s">
        <v>72</v>
      </c>
      <c r="H39" s="12" t="s">
        <v>73</v>
      </c>
      <c r="I39" s="12" t="s">
        <v>74</v>
      </c>
      <c r="J39" s="12">
        <f t="shared" si="15"/>
        <v>5</v>
      </c>
      <c r="K39" s="12">
        <v>19.0</v>
      </c>
      <c r="L39" s="12">
        <v>-35.0</v>
      </c>
      <c r="M39" s="12">
        <v>46.0</v>
      </c>
      <c r="N39" s="12" t="s">
        <v>167</v>
      </c>
      <c r="O39" s="12" t="str">
        <f t="shared" si="11"/>
        <v/>
      </c>
      <c r="P39" s="14">
        <v>-1.53564</v>
      </c>
      <c r="Q39" s="14">
        <v>-2.113366</v>
      </c>
      <c r="R39" s="14">
        <f>Q39-P39</f>
        <v>-0.577726</v>
      </c>
      <c r="S39" s="12" t="s">
        <v>27</v>
      </c>
      <c r="T39" s="12" t="s">
        <v>27</v>
      </c>
      <c r="U39" s="12" t="s">
        <v>27</v>
      </c>
      <c r="V39" s="12" t="str">
        <f>G39 &amp; H39 &amp; " " &amp; M39 &amp; " yardas, " &amp; N39 &amp; " de " &amp; G40 &amp; " para " &amp; M40 &amp; " yardas"</f>
        <v>Mauricio Fernández Salazar  Punt 46 yardas, Regreso de Aldo Herrera  para 6 yardas</v>
      </c>
      <c r="W39" s="10">
        <v>0.0</v>
      </c>
      <c r="X39" s="10">
        <v>9.0</v>
      </c>
    </row>
    <row r="40">
      <c r="A40" s="11">
        <v>2.0</v>
      </c>
      <c r="B40" s="12" t="s">
        <v>26</v>
      </c>
      <c r="C40" s="12" t="s">
        <v>27</v>
      </c>
      <c r="D40" s="12" t="s">
        <v>27</v>
      </c>
      <c r="E40" s="12" t="s">
        <v>26</v>
      </c>
      <c r="F40" s="12">
        <v>3.0</v>
      </c>
      <c r="G40" s="11" t="s">
        <v>128</v>
      </c>
      <c r="H40" s="12" t="s">
        <v>129</v>
      </c>
      <c r="I40" s="12" t="s">
        <v>27</v>
      </c>
      <c r="J40" s="12"/>
      <c r="K40" s="12">
        <v>35.0</v>
      </c>
      <c r="L40" s="12">
        <v>41.0</v>
      </c>
      <c r="M40" s="12">
        <v>6.0</v>
      </c>
      <c r="N40" s="12" t="s">
        <v>48</v>
      </c>
      <c r="O40" s="12">
        <f t="shared" si="11"/>
        <v>10</v>
      </c>
      <c r="P40" s="15"/>
      <c r="Q40" s="15"/>
      <c r="R40" s="14">
        <v>0.0</v>
      </c>
      <c r="S40" s="12">
        <v>45.0</v>
      </c>
      <c r="T40" s="12" t="s">
        <v>28</v>
      </c>
      <c r="U40" s="12" t="s">
        <v>130</v>
      </c>
      <c r="V40" s="12" t="s">
        <v>131</v>
      </c>
      <c r="W40" s="10">
        <v>0.0</v>
      </c>
      <c r="X40" s="10">
        <v>9.0</v>
      </c>
    </row>
    <row r="41">
      <c r="A41" s="11">
        <v>2.0</v>
      </c>
      <c r="B41" s="12" t="s">
        <v>26</v>
      </c>
      <c r="C41" s="12">
        <v>10.0</v>
      </c>
      <c r="D41" s="11" t="s">
        <v>34</v>
      </c>
      <c r="E41" s="12" t="s">
        <v>26</v>
      </c>
      <c r="F41" s="12">
        <v>31.0</v>
      </c>
      <c r="G41" s="11" t="s">
        <v>35</v>
      </c>
      <c r="H41" s="12" t="s">
        <v>38</v>
      </c>
      <c r="I41" s="12" t="s">
        <v>39</v>
      </c>
      <c r="J41" s="10">
        <v>10.0</v>
      </c>
      <c r="K41" s="12">
        <v>41.0</v>
      </c>
      <c r="L41" s="12">
        <v>43.0</v>
      </c>
      <c r="M41" s="12">
        <v>2.0</v>
      </c>
      <c r="N41" s="12" t="s">
        <v>54</v>
      </c>
      <c r="O41" s="12">
        <f t="shared" si="11"/>
        <v>8</v>
      </c>
      <c r="P41" s="14">
        <v>2.113366</v>
      </c>
      <c r="Q41" s="14">
        <v>1.813973</v>
      </c>
      <c r="R41" s="14">
        <v>-0.29939</v>
      </c>
      <c r="S41" s="12">
        <v>27.0</v>
      </c>
      <c r="T41" s="12" t="s">
        <v>28</v>
      </c>
      <c r="U41" s="12" t="s">
        <v>89</v>
      </c>
      <c r="V41" s="12" t="str">
        <f>G41 &amp; "para " &amp; M41 &amp; " yardas, " &amp; N41</f>
        <v>Ángel Alvarado para 2 yardas, 2do down</v>
      </c>
      <c r="W41" s="10">
        <v>0.0</v>
      </c>
      <c r="X41" s="10">
        <v>9.0</v>
      </c>
    </row>
    <row r="42">
      <c r="A42" s="11">
        <v>2.0</v>
      </c>
      <c r="B42" s="12" t="s">
        <v>26</v>
      </c>
      <c r="C42" s="12">
        <v>10.0</v>
      </c>
      <c r="D42" s="11" t="s">
        <v>34</v>
      </c>
      <c r="E42" s="12" t="s">
        <v>26</v>
      </c>
      <c r="F42" s="12">
        <v>3.0</v>
      </c>
      <c r="G42" s="11" t="s">
        <v>128</v>
      </c>
      <c r="H42" s="12" t="s">
        <v>117</v>
      </c>
      <c r="I42" s="12" t="s">
        <v>58</v>
      </c>
      <c r="J42" s="12">
        <f t="shared" ref="J42:J43" si="16">J41-M41</f>
        <v>8</v>
      </c>
      <c r="K42" s="12">
        <v>43.0</v>
      </c>
      <c r="L42" s="12">
        <v>43.0</v>
      </c>
      <c r="M42" s="12">
        <v>0.0</v>
      </c>
      <c r="N42" s="12" t="s">
        <v>64</v>
      </c>
      <c r="O42" s="12">
        <f t="shared" si="11"/>
        <v>8</v>
      </c>
      <c r="P42" s="14">
        <v>1.813973</v>
      </c>
      <c r="Q42" s="14">
        <v>0.989085</v>
      </c>
      <c r="R42" s="14">
        <v>-0.82489</v>
      </c>
      <c r="S42" s="12" t="s">
        <v>27</v>
      </c>
      <c r="T42" s="12" t="s">
        <v>27</v>
      </c>
      <c r="U42" s="12" t="s">
        <v>27</v>
      </c>
      <c r="V42" s="12" t="str">
        <f>D42 &amp; H42 &amp; " intencionado para " &amp; G42</f>
        <v>Sergio Resendiz Pase incompleto intencionado para Aldo Herrera </v>
      </c>
      <c r="W42" s="10">
        <v>0.0</v>
      </c>
      <c r="X42" s="10">
        <v>9.0</v>
      </c>
    </row>
    <row r="43">
      <c r="A43" s="11">
        <v>2.0</v>
      </c>
      <c r="B43" s="12" t="s">
        <v>26</v>
      </c>
      <c r="C43" s="12">
        <v>10.0</v>
      </c>
      <c r="D43" s="11" t="s">
        <v>34</v>
      </c>
      <c r="E43" s="12" t="s">
        <v>26</v>
      </c>
      <c r="F43" s="12">
        <v>8.0</v>
      </c>
      <c r="G43" s="11" t="s">
        <v>119</v>
      </c>
      <c r="H43" s="12" t="s">
        <v>53</v>
      </c>
      <c r="I43" s="12" t="s">
        <v>69</v>
      </c>
      <c r="J43" s="12">
        <f t="shared" si="16"/>
        <v>8</v>
      </c>
      <c r="K43" s="12">
        <v>43.0</v>
      </c>
      <c r="L43" s="12">
        <v>-32.0</v>
      </c>
      <c r="M43" s="12">
        <v>25.0</v>
      </c>
      <c r="N43" s="12" t="s">
        <v>48</v>
      </c>
      <c r="O43" s="12">
        <f t="shared" si="11"/>
        <v>10</v>
      </c>
      <c r="P43" s="14">
        <v>0.989085</v>
      </c>
      <c r="Q43" s="14">
        <v>3.641137</v>
      </c>
      <c r="R43" s="14">
        <v>2.652052</v>
      </c>
      <c r="S43" s="12" t="s">
        <v>27</v>
      </c>
      <c r="T43" s="12" t="s">
        <v>27</v>
      </c>
      <c r="U43" s="12" t="s">
        <v>27</v>
      </c>
      <c r="V43" s="12" t="str">
        <f>D43 &amp; H43 &amp; " completo para " &amp;G43 &amp; "para " &amp; M43 &amp; " yardas" </f>
        <v>Sergio Resendiz Pase completo para Luis Ángel Olvera para 25 yardas</v>
      </c>
      <c r="W43" s="10">
        <v>0.0</v>
      </c>
      <c r="X43" s="10">
        <v>9.0</v>
      </c>
    </row>
    <row r="44">
      <c r="A44" s="11">
        <v>2.0</v>
      </c>
      <c r="B44" s="12" t="s">
        <v>26</v>
      </c>
      <c r="C44" s="12">
        <v>10.0</v>
      </c>
      <c r="D44" s="11" t="s">
        <v>34</v>
      </c>
      <c r="E44" s="12" t="s">
        <v>26</v>
      </c>
      <c r="F44" s="12">
        <v>31.0</v>
      </c>
      <c r="G44" s="11" t="s">
        <v>35</v>
      </c>
      <c r="H44" s="12" t="s">
        <v>38</v>
      </c>
      <c r="I44" s="12" t="s">
        <v>39</v>
      </c>
      <c r="J44" s="10">
        <v>10.0</v>
      </c>
      <c r="K44" s="12">
        <v>-32.0</v>
      </c>
      <c r="L44" s="12">
        <v>-28.0</v>
      </c>
      <c r="M44" s="12">
        <v>4.0</v>
      </c>
      <c r="N44" s="12" t="s">
        <v>54</v>
      </c>
      <c r="O44" s="12">
        <f t="shared" si="11"/>
        <v>6</v>
      </c>
      <c r="P44" s="14">
        <v>3.641137</v>
      </c>
      <c r="Q44" s="14">
        <v>3.610853</v>
      </c>
      <c r="R44" s="14">
        <v>-0.03028</v>
      </c>
      <c r="S44" s="12">
        <v>2.0</v>
      </c>
      <c r="T44" s="12" t="s">
        <v>28</v>
      </c>
      <c r="U44" s="12" t="s">
        <v>86</v>
      </c>
      <c r="V44" s="12" t="str">
        <f t="shared" ref="V44:V46" si="17">G44 &amp; "para " &amp; M44 &amp; " yardas, " &amp; N44</f>
        <v>Ángel Alvarado para 4 yardas, 2do down</v>
      </c>
      <c r="W44" s="10">
        <v>0.0</v>
      </c>
      <c r="X44" s="10">
        <v>9.0</v>
      </c>
    </row>
    <row r="45">
      <c r="A45" s="11">
        <v>2.0</v>
      </c>
      <c r="B45" s="12" t="s">
        <v>26</v>
      </c>
      <c r="C45" s="12">
        <v>10.0</v>
      </c>
      <c r="D45" s="11" t="s">
        <v>34</v>
      </c>
      <c r="E45" s="12" t="s">
        <v>26</v>
      </c>
      <c r="F45" s="12">
        <v>10.0</v>
      </c>
      <c r="G45" s="11" t="s">
        <v>34</v>
      </c>
      <c r="H45" s="12" t="s">
        <v>38</v>
      </c>
      <c r="I45" s="12" t="s">
        <v>58</v>
      </c>
      <c r="J45" s="12">
        <f t="shared" ref="J45:J46" si="18">J44-M44</f>
        <v>6</v>
      </c>
      <c r="K45" s="12">
        <v>-28.0</v>
      </c>
      <c r="L45" s="12">
        <v>-23.0</v>
      </c>
      <c r="M45" s="12">
        <v>5.0</v>
      </c>
      <c r="N45" s="12" t="s">
        <v>64</v>
      </c>
      <c r="O45" s="12">
        <f t="shared" si="11"/>
        <v>1</v>
      </c>
      <c r="P45" s="14">
        <v>3.610853</v>
      </c>
      <c r="Q45" s="14">
        <v>3.681476</v>
      </c>
      <c r="R45" s="14">
        <v>0.070623</v>
      </c>
      <c r="S45" s="12">
        <v>79.0</v>
      </c>
      <c r="T45" s="12" t="s">
        <v>28</v>
      </c>
      <c r="U45" s="12" t="s">
        <v>135</v>
      </c>
      <c r="V45" s="12" t="str">
        <f t="shared" si="17"/>
        <v>Sergio Resendiz para 5 yardas, 3er down</v>
      </c>
      <c r="W45" s="10">
        <v>0.0</v>
      </c>
      <c r="X45" s="10">
        <v>9.0</v>
      </c>
    </row>
    <row r="46">
      <c r="A46" s="11">
        <v>2.0</v>
      </c>
      <c r="B46" s="12" t="s">
        <v>26</v>
      </c>
      <c r="C46" s="12">
        <v>31.0</v>
      </c>
      <c r="D46" s="12" t="s">
        <v>137</v>
      </c>
      <c r="E46" s="12" t="s">
        <v>26</v>
      </c>
      <c r="F46" s="12">
        <v>31.0</v>
      </c>
      <c r="G46" s="11" t="s">
        <v>35</v>
      </c>
      <c r="H46" s="12" t="s">
        <v>38</v>
      </c>
      <c r="I46" s="12" t="s">
        <v>69</v>
      </c>
      <c r="J46" s="12">
        <f t="shared" si="18"/>
        <v>1</v>
      </c>
      <c r="K46" s="12">
        <v>-23.0</v>
      </c>
      <c r="L46" s="12">
        <v>-15.0</v>
      </c>
      <c r="M46" s="12">
        <v>8.0</v>
      </c>
      <c r="N46" s="12" t="s">
        <v>48</v>
      </c>
      <c r="O46" s="12">
        <f t="shared" si="11"/>
        <v>10</v>
      </c>
      <c r="P46" s="14">
        <v>3.681476</v>
      </c>
      <c r="Q46" s="14">
        <v>4.282</v>
      </c>
      <c r="R46" s="14">
        <v>0.600523</v>
      </c>
      <c r="S46" s="12">
        <v>0.0</v>
      </c>
      <c r="T46" s="12" t="s">
        <v>28</v>
      </c>
      <c r="U46" s="12" t="s">
        <v>138</v>
      </c>
      <c r="V46" s="12" t="str">
        <f t="shared" si="17"/>
        <v>Ángel Alvarado para 8 yardas, 1er down</v>
      </c>
      <c r="W46" s="10">
        <v>0.0</v>
      </c>
      <c r="X46" s="10">
        <v>9.0</v>
      </c>
    </row>
    <row r="47">
      <c r="A47" s="11">
        <v>2.0</v>
      </c>
      <c r="B47" s="12" t="s">
        <v>26</v>
      </c>
      <c r="C47" s="12" t="s">
        <v>27</v>
      </c>
      <c r="D47" s="12" t="s">
        <v>27</v>
      </c>
      <c r="E47" s="12" t="s">
        <v>26</v>
      </c>
      <c r="F47" s="12" t="s">
        <v>27</v>
      </c>
      <c r="G47" s="12" t="s">
        <v>27</v>
      </c>
      <c r="H47" s="12" t="s">
        <v>106</v>
      </c>
      <c r="I47" s="12" t="s">
        <v>39</v>
      </c>
      <c r="J47" s="10">
        <v>10.0</v>
      </c>
      <c r="K47" s="12">
        <v>-15.0</v>
      </c>
      <c r="L47" s="12">
        <v>-20.0</v>
      </c>
      <c r="M47" s="12">
        <v>-5.0</v>
      </c>
      <c r="N47" s="12" t="s">
        <v>48</v>
      </c>
      <c r="O47" s="12">
        <f t="shared" si="11"/>
        <v>15</v>
      </c>
      <c r="P47" s="14">
        <v>4.282</v>
      </c>
      <c r="Q47" s="14">
        <v>3.857432</v>
      </c>
      <c r="R47" s="14">
        <v>-0.42457</v>
      </c>
      <c r="S47" s="12" t="s">
        <v>27</v>
      </c>
      <c r="T47" s="12" t="s">
        <v>27</v>
      </c>
      <c r="U47" s="12" t="s">
        <v>27</v>
      </c>
      <c r="V47" s="12" t="str">
        <f>H47 &amp; ", " &amp; M47 &amp; " yardas"</f>
        <v>Castigo a la ofensiva, -5 yardas</v>
      </c>
      <c r="W47" s="10">
        <v>0.0</v>
      </c>
      <c r="X47" s="10">
        <v>9.0</v>
      </c>
    </row>
    <row r="48">
      <c r="A48" s="11">
        <v>2.0</v>
      </c>
      <c r="B48" s="12" t="s">
        <v>26</v>
      </c>
      <c r="C48" s="12">
        <v>10.0</v>
      </c>
      <c r="D48" s="11" t="s">
        <v>34</v>
      </c>
      <c r="E48" s="12" t="s">
        <v>26</v>
      </c>
      <c r="F48" s="12">
        <v>31.0</v>
      </c>
      <c r="G48" s="11" t="s">
        <v>35</v>
      </c>
      <c r="H48" s="12" t="s">
        <v>38</v>
      </c>
      <c r="I48" s="12" t="s">
        <v>39</v>
      </c>
      <c r="J48" s="12">
        <f t="shared" ref="J48:J51" si="19">J47-M47</f>
        <v>15</v>
      </c>
      <c r="K48" s="12">
        <v>-20.0</v>
      </c>
      <c r="L48" s="12">
        <v>-18.0</v>
      </c>
      <c r="M48" s="12">
        <v>2.0</v>
      </c>
      <c r="N48" s="12" t="s">
        <v>54</v>
      </c>
      <c r="O48" s="12">
        <f t="shared" si="11"/>
        <v>13</v>
      </c>
      <c r="P48" s="14">
        <v>3.857432</v>
      </c>
      <c r="Q48" s="14">
        <v>3.838565</v>
      </c>
      <c r="R48" s="14">
        <v>-0.01887</v>
      </c>
      <c r="S48" s="12">
        <v>2.0</v>
      </c>
      <c r="T48" s="12" t="s">
        <v>28</v>
      </c>
      <c r="U48" s="12" t="s">
        <v>86</v>
      </c>
      <c r="V48" s="12" t="str">
        <f t="shared" ref="V48:V49" si="20">G48 &amp; "para " &amp; M48 &amp; " yardas, " &amp; N48</f>
        <v>Ángel Alvarado para 2 yardas, 2do down</v>
      </c>
      <c r="W48" s="10">
        <v>0.0</v>
      </c>
      <c r="X48" s="10">
        <v>9.0</v>
      </c>
    </row>
    <row r="49">
      <c r="A49" s="11">
        <v>2.0</v>
      </c>
      <c r="B49" s="12" t="s">
        <v>26</v>
      </c>
      <c r="C49" s="12">
        <v>10.0</v>
      </c>
      <c r="D49" s="11" t="s">
        <v>34</v>
      </c>
      <c r="E49" s="12" t="s">
        <v>26</v>
      </c>
      <c r="F49" s="12">
        <v>10.0</v>
      </c>
      <c r="G49" s="11" t="s">
        <v>34</v>
      </c>
      <c r="H49" s="12" t="s">
        <v>38</v>
      </c>
      <c r="I49" s="12" t="s">
        <v>58</v>
      </c>
      <c r="J49" s="12">
        <f t="shared" si="19"/>
        <v>13</v>
      </c>
      <c r="K49" s="12">
        <v>-18.0</v>
      </c>
      <c r="L49" s="12">
        <v>-12.0</v>
      </c>
      <c r="M49" s="12">
        <v>6.0</v>
      </c>
      <c r="N49" s="12" t="s">
        <v>64</v>
      </c>
      <c r="O49" s="12">
        <f t="shared" si="11"/>
        <v>7</v>
      </c>
      <c r="P49" s="14">
        <v>3.838565</v>
      </c>
      <c r="Q49" s="14">
        <v>3.287756</v>
      </c>
      <c r="R49" s="14">
        <v>-0.55081</v>
      </c>
      <c r="S49" s="12">
        <v>29.0</v>
      </c>
      <c r="T49" s="12" t="s">
        <v>28</v>
      </c>
      <c r="U49" s="12" t="s">
        <v>80</v>
      </c>
      <c r="V49" s="12" t="str">
        <f t="shared" si="20"/>
        <v>Sergio Resendiz para 6 yardas, 3er down</v>
      </c>
      <c r="W49" s="10">
        <v>0.0</v>
      </c>
      <c r="X49" s="10">
        <v>9.0</v>
      </c>
    </row>
    <row r="50">
      <c r="A50" s="11">
        <v>2.0</v>
      </c>
      <c r="B50" s="12" t="s">
        <v>26</v>
      </c>
      <c r="C50" s="12">
        <v>10.0</v>
      </c>
      <c r="D50" s="11" t="s">
        <v>34</v>
      </c>
      <c r="E50" s="12" t="s">
        <v>26</v>
      </c>
      <c r="F50" s="12">
        <v>6.0</v>
      </c>
      <c r="G50" s="12" t="s">
        <v>141</v>
      </c>
      <c r="H50" s="12" t="s">
        <v>117</v>
      </c>
      <c r="I50" s="12" t="s">
        <v>69</v>
      </c>
      <c r="J50" s="12">
        <f t="shared" si="19"/>
        <v>7</v>
      </c>
      <c r="K50" s="12">
        <v>-12.0</v>
      </c>
      <c r="L50" s="12">
        <v>-12.0</v>
      </c>
      <c r="M50" s="12">
        <v>0.0</v>
      </c>
      <c r="N50" s="12" t="s">
        <v>70</v>
      </c>
      <c r="O50" s="12">
        <f t="shared" si="11"/>
        <v>7</v>
      </c>
      <c r="P50" s="14">
        <v>3.287756</v>
      </c>
      <c r="Q50" s="14">
        <v>2.798019</v>
      </c>
      <c r="R50" s="14">
        <v>-0.48974</v>
      </c>
      <c r="S50" s="12" t="s">
        <v>27</v>
      </c>
      <c r="T50" s="12" t="s">
        <v>27</v>
      </c>
      <c r="U50" s="12" t="s">
        <v>27</v>
      </c>
      <c r="V50" s="12" t="str">
        <f>D50 &amp; H50 &amp; " intencionado para " &amp; G50</f>
        <v>Sergio Resendiz Pase incompleto intencionado para Christian Espinosa Vázquez</v>
      </c>
      <c r="W50" s="10">
        <v>0.0</v>
      </c>
      <c r="X50" s="10">
        <v>9.0</v>
      </c>
    </row>
    <row r="51">
      <c r="A51" s="11">
        <v>2.0</v>
      </c>
      <c r="B51" s="12" t="s">
        <v>26</v>
      </c>
      <c r="C51" s="12" t="s">
        <v>27</v>
      </c>
      <c r="D51" s="12" t="s">
        <v>27</v>
      </c>
      <c r="E51" s="12" t="s">
        <v>26</v>
      </c>
      <c r="F51" s="12">
        <v>42.0</v>
      </c>
      <c r="G51" s="10" t="s">
        <v>93</v>
      </c>
      <c r="H51" s="12" t="s">
        <v>94</v>
      </c>
      <c r="I51" s="12" t="s">
        <v>74</v>
      </c>
      <c r="J51" s="12">
        <f t="shared" si="19"/>
        <v>7</v>
      </c>
      <c r="K51" s="12">
        <v>-19.0</v>
      </c>
      <c r="L51" s="12">
        <v>0.0</v>
      </c>
      <c r="M51" s="12">
        <v>29.0</v>
      </c>
      <c r="N51" s="12" t="s">
        <v>95</v>
      </c>
      <c r="O51" s="12" t="str">
        <f t="shared" si="11"/>
        <v/>
      </c>
      <c r="P51" s="14">
        <v>2.798019</v>
      </c>
      <c r="Q51" s="13">
        <v>3.0</v>
      </c>
      <c r="R51" s="14">
        <f>Q51-P51</f>
        <v>0.201981</v>
      </c>
      <c r="S51" s="12" t="s">
        <v>27</v>
      </c>
      <c r="T51" s="12" t="s">
        <v>27</v>
      </c>
      <c r="U51" s="12" t="s">
        <v>27</v>
      </c>
      <c r="V51" s="12" t="str">
        <f>G51 &amp; N51</f>
        <v>Reynaldo Adolfo Blanco Palomo FG bueno</v>
      </c>
      <c r="W51" s="10">
        <v>0.0</v>
      </c>
      <c r="X51" s="10">
        <v>12.0</v>
      </c>
    </row>
    <row r="52">
      <c r="A52" s="11">
        <v>2.0</v>
      </c>
      <c r="B52" s="12" t="s">
        <v>26</v>
      </c>
      <c r="C52" s="12" t="s">
        <v>27</v>
      </c>
      <c r="D52" s="12" t="s">
        <v>27</v>
      </c>
      <c r="E52" s="12" t="s">
        <v>26</v>
      </c>
      <c r="F52" s="12">
        <v>42.0</v>
      </c>
      <c r="G52" s="12" t="s">
        <v>42</v>
      </c>
      <c r="H52" s="12" t="s">
        <v>31</v>
      </c>
      <c r="I52" s="12" t="s">
        <v>27</v>
      </c>
      <c r="J52" s="12"/>
      <c r="K52" s="12">
        <v>35.0</v>
      </c>
      <c r="L52" s="12">
        <v>-3.0</v>
      </c>
      <c r="M52" s="12">
        <v>62.0</v>
      </c>
      <c r="N52" s="12" t="s">
        <v>167</v>
      </c>
      <c r="O52" s="12" t="str">
        <f t="shared" si="11"/>
        <v/>
      </c>
      <c r="P52" s="15"/>
      <c r="Q52" s="15"/>
      <c r="R52" s="14">
        <v>0.0</v>
      </c>
      <c r="S52" s="12" t="s">
        <v>27</v>
      </c>
      <c r="T52" s="12" t="s">
        <v>27</v>
      </c>
      <c r="U52" s="12" t="s">
        <v>27</v>
      </c>
      <c r="V52" s="12" t="str">
        <f>G52 &amp; " kicks off " &amp; M52 &amp; " yardas, " &amp; N52 &amp; " por " &amp; G53 &amp; " para " &amp; M53 &amp; " yardas"</f>
        <v>Reynaldo Adolfo Blanco Palomo kicks off 62 yardas, Regreso por Fernando Tonda para 20 yardas</v>
      </c>
      <c r="W52" s="10">
        <v>0.0</v>
      </c>
      <c r="X52" s="10">
        <f t="shared" ref="X52:X73" si="21">X51</f>
        <v>12</v>
      </c>
    </row>
    <row r="53">
      <c r="A53" s="11">
        <v>2.0</v>
      </c>
      <c r="B53" s="12" t="s">
        <v>28</v>
      </c>
      <c r="C53" s="12" t="s">
        <v>27</v>
      </c>
      <c r="D53" s="12" t="s">
        <v>27</v>
      </c>
      <c r="E53" s="12" t="s">
        <v>28</v>
      </c>
      <c r="F53" s="12">
        <v>81.0</v>
      </c>
      <c r="G53" s="11" t="s">
        <v>46</v>
      </c>
      <c r="H53" s="12" t="s">
        <v>47</v>
      </c>
      <c r="I53" s="12" t="s">
        <v>27</v>
      </c>
      <c r="J53" s="12"/>
      <c r="K53" s="12">
        <v>3.0</v>
      </c>
      <c r="L53" s="12">
        <v>23.0</v>
      </c>
      <c r="M53" s="12">
        <v>20.0</v>
      </c>
      <c r="N53" s="12" t="s">
        <v>48</v>
      </c>
      <c r="O53" s="12">
        <f t="shared" si="11"/>
        <v>10</v>
      </c>
      <c r="P53" s="13">
        <v>0.0</v>
      </c>
      <c r="Q53" s="14">
        <v>0.729934</v>
      </c>
      <c r="R53" s="14">
        <f>Q53-P53</f>
        <v>0.729934</v>
      </c>
      <c r="S53" s="12">
        <v>46.0</v>
      </c>
      <c r="T53" s="12" t="s">
        <v>26</v>
      </c>
      <c r="U53" s="12" t="s">
        <v>27</v>
      </c>
      <c r="V53" s="12" t="s">
        <v>143</v>
      </c>
      <c r="W53" s="10">
        <v>0.0</v>
      </c>
      <c r="X53" s="10">
        <f t="shared" si="21"/>
        <v>12</v>
      </c>
    </row>
    <row r="54">
      <c r="A54" s="11">
        <v>2.0</v>
      </c>
      <c r="B54" s="12" t="s">
        <v>28</v>
      </c>
      <c r="C54" s="12">
        <v>15.0</v>
      </c>
      <c r="D54" s="11" t="s">
        <v>51</v>
      </c>
      <c r="E54" s="12" t="s">
        <v>28</v>
      </c>
      <c r="F54" s="12">
        <v>17.0</v>
      </c>
      <c r="G54" s="12" t="s">
        <v>144</v>
      </c>
      <c r="H54" s="12" t="s">
        <v>53</v>
      </c>
      <c r="I54" s="12" t="s">
        <v>39</v>
      </c>
      <c r="J54" s="10">
        <v>10.0</v>
      </c>
      <c r="K54" s="12">
        <v>23.0</v>
      </c>
      <c r="L54" s="12">
        <v>0.0</v>
      </c>
      <c r="M54" s="12">
        <v>77.0</v>
      </c>
      <c r="N54" s="12" t="s">
        <v>40</v>
      </c>
      <c r="O54" s="12" t="str">
        <f t="shared" si="11"/>
        <v/>
      </c>
      <c r="P54" s="14">
        <v>0.729934</v>
      </c>
      <c r="Q54" s="14">
        <v>7.0</v>
      </c>
      <c r="R54" s="14">
        <v>6.270066</v>
      </c>
      <c r="S54" s="12" t="s">
        <v>27</v>
      </c>
      <c r="T54" s="12" t="s">
        <v>27</v>
      </c>
      <c r="U54" s="12" t="s">
        <v>27</v>
      </c>
      <c r="V54" s="12" t="str">
        <f>D54 &amp; H54 &amp; " completo para " &amp;G54 &amp; "para " &amp; M54 &amp; " yardas" </f>
        <v>Fernando Sarabia Pase completo para Alejandro Elizondo Gonzálezpara 77 yardas</v>
      </c>
      <c r="W54" s="10">
        <v>6.0</v>
      </c>
      <c r="X54" s="10">
        <f t="shared" si="21"/>
        <v>12</v>
      </c>
    </row>
    <row r="55">
      <c r="A55" s="11">
        <v>2.0</v>
      </c>
      <c r="B55" s="12" t="s">
        <v>28</v>
      </c>
      <c r="C55" s="12" t="s">
        <v>27</v>
      </c>
      <c r="D55" s="12" t="s">
        <v>27</v>
      </c>
      <c r="E55" s="12" t="s">
        <v>28</v>
      </c>
      <c r="F55" s="12">
        <v>28.0</v>
      </c>
      <c r="G55" s="11" t="s">
        <v>29</v>
      </c>
      <c r="H55" s="12" t="s">
        <v>43</v>
      </c>
      <c r="I55" s="12" t="s">
        <v>27</v>
      </c>
      <c r="J55" s="12"/>
      <c r="K55" s="12">
        <v>-10.0</v>
      </c>
      <c r="L55" s="12">
        <v>0.0</v>
      </c>
      <c r="M55" s="12">
        <v>20.0</v>
      </c>
      <c r="N55" s="12" t="s">
        <v>146</v>
      </c>
      <c r="O55" s="12" t="str">
        <f t="shared" si="11"/>
        <v/>
      </c>
      <c r="P55" s="15"/>
      <c r="Q55" s="15"/>
      <c r="R55" s="14">
        <v>0.0</v>
      </c>
      <c r="S55" s="12" t="s">
        <v>27</v>
      </c>
      <c r="T55" s="12" t="s">
        <v>27</v>
      </c>
      <c r="U55" s="12" t="s">
        <v>27</v>
      </c>
      <c r="V55" s="12" t="str">
        <f>G55 &amp; " " &amp; N55</f>
        <v>Roberto Medina PAT exitosa</v>
      </c>
      <c r="W55" s="10">
        <v>7.0</v>
      </c>
      <c r="X55" s="10">
        <f t="shared" si="21"/>
        <v>12</v>
      </c>
    </row>
    <row r="56">
      <c r="A56" s="11">
        <v>2.0</v>
      </c>
      <c r="B56" s="12" t="s">
        <v>28</v>
      </c>
      <c r="C56" s="12" t="s">
        <v>27</v>
      </c>
      <c r="D56" s="12" t="s">
        <v>27</v>
      </c>
      <c r="E56" s="12" t="s">
        <v>28</v>
      </c>
      <c r="F56" s="12">
        <v>28.0</v>
      </c>
      <c r="G56" s="11" t="s">
        <v>29</v>
      </c>
      <c r="H56" s="12" t="s">
        <v>31</v>
      </c>
      <c r="I56" s="12" t="s">
        <v>27</v>
      </c>
      <c r="J56" s="12"/>
      <c r="K56" s="12">
        <v>35.0</v>
      </c>
      <c r="L56" s="12">
        <v>0.0</v>
      </c>
      <c r="M56" s="12">
        <v>65.0</v>
      </c>
      <c r="N56" s="12" t="s">
        <v>167</v>
      </c>
      <c r="O56" s="12" t="str">
        <f t="shared" si="11"/>
        <v/>
      </c>
      <c r="P56" s="15"/>
      <c r="Q56" s="15"/>
      <c r="R56" s="14">
        <v>0.0</v>
      </c>
      <c r="S56" s="12" t="s">
        <v>27</v>
      </c>
      <c r="T56" s="12" t="s">
        <v>27</v>
      </c>
      <c r="U56" s="12" t="s">
        <v>27</v>
      </c>
      <c r="V56" s="12" t="str">
        <f>G56 &amp; " kicks off " &amp; M56 &amp; " yardas, " &amp; N56 &amp; " por " &amp; G57 &amp; " para " &amp; M57 &amp; " yardas"</f>
        <v>Roberto Medina kicks off 65 yardas, Regreso por Jorge Luis Chaib De León para 28 yardas</v>
      </c>
      <c r="W56" s="10">
        <v>7.0</v>
      </c>
      <c r="X56" s="10">
        <f t="shared" si="21"/>
        <v>12</v>
      </c>
    </row>
    <row r="57">
      <c r="A57" s="11">
        <v>2.0</v>
      </c>
      <c r="B57" s="12" t="s">
        <v>26</v>
      </c>
      <c r="C57" s="12" t="s">
        <v>27</v>
      </c>
      <c r="D57" s="12" t="s">
        <v>27</v>
      </c>
      <c r="E57" s="12" t="s">
        <v>26</v>
      </c>
      <c r="F57" s="12">
        <v>20.0</v>
      </c>
      <c r="G57" s="12" t="s">
        <v>148</v>
      </c>
      <c r="H57" s="12" t="s">
        <v>47</v>
      </c>
      <c r="I57" s="12" t="s">
        <v>27</v>
      </c>
      <c r="J57" s="12"/>
      <c r="K57" s="12">
        <v>0.0</v>
      </c>
      <c r="L57" s="12">
        <v>28.0</v>
      </c>
      <c r="M57" s="12">
        <v>28.0</v>
      </c>
      <c r="N57" s="12" t="s">
        <v>48</v>
      </c>
      <c r="O57" s="12">
        <f t="shared" si="11"/>
        <v>10</v>
      </c>
      <c r="P57" s="13">
        <v>0.0</v>
      </c>
      <c r="Q57" s="14">
        <v>1.136436</v>
      </c>
      <c r="R57" s="14">
        <f>Q57-P57</f>
        <v>1.136436</v>
      </c>
      <c r="S57" s="12" t="s">
        <v>27</v>
      </c>
      <c r="T57" s="12" t="s">
        <v>27</v>
      </c>
      <c r="U57" s="12" t="s">
        <v>27</v>
      </c>
      <c r="V57" s="12" t="s">
        <v>149</v>
      </c>
      <c r="W57" s="10">
        <v>7.0</v>
      </c>
      <c r="X57" s="10">
        <f t="shared" si="21"/>
        <v>12</v>
      </c>
    </row>
    <row r="58">
      <c r="A58" s="11">
        <v>2.0</v>
      </c>
      <c r="B58" s="12" t="s">
        <v>26</v>
      </c>
      <c r="C58" s="12">
        <v>10.0</v>
      </c>
      <c r="D58" s="11" t="s">
        <v>34</v>
      </c>
      <c r="E58" s="12" t="s">
        <v>26</v>
      </c>
      <c r="F58" s="12">
        <v>31.0</v>
      </c>
      <c r="G58" s="11" t="s">
        <v>35</v>
      </c>
      <c r="H58" s="12" t="s">
        <v>38</v>
      </c>
      <c r="I58" s="12" t="s">
        <v>39</v>
      </c>
      <c r="J58" s="10">
        <v>10.0</v>
      </c>
      <c r="K58" s="12">
        <v>28.0</v>
      </c>
      <c r="L58" s="12">
        <v>28.0</v>
      </c>
      <c r="M58" s="12">
        <v>0.0</v>
      </c>
      <c r="N58" s="12" t="s">
        <v>54</v>
      </c>
      <c r="O58" s="12">
        <f t="shared" si="11"/>
        <v>10</v>
      </c>
      <c r="P58" s="14">
        <v>1.136436</v>
      </c>
      <c r="Q58" s="14">
        <v>0.520735</v>
      </c>
      <c r="R58" s="14">
        <v>-0.6157</v>
      </c>
      <c r="S58" s="12">
        <v>91.0</v>
      </c>
      <c r="T58" s="12" t="s">
        <v>28</v>
      </c>
      <c r="U58" s="12" t="s">
        <v>150</v>
      </c>
      <c r="V58" s="12" t="str">
        <f t="shared" ref="V58:V59" si="22">G58 &amp; "para " &amp; M58 &amp; " yardas, " &amp; N58</f>
        <v>Ángel Alvarado para 0 yardas, 2do down</v>
      </c>
      <c r="W58" s="10">
        <v>7.0</v>
      </c>
      <c r="X58" s="10">
        <f t="shared" si="21"/>
        <v>12</v>
      </c>
    </row>
    <row r="59">
      <c r="A59" s="11">
        <v>2.0</v>
      </c>
      <c r="B59" s="12" t="s">
        <v>26</v>
      </c>
      <c r="C59" s="12">
        <v>10.0</v>
      </c>
      <c r="D59" s="11" t="s">
        <v>34</v>
      </c>
      <c r="E59" s="12" t="s">
        <v>26</v>
      </c>
      <c r="F59" s="12">
        <v>31.0</v>
      </c>
      <c r="G59" s="11" t="s">
        <v>35</v>
      </c>
      <c r="H59" s="12" t="s">
        <v>38</v>
      </c>
      <c r="I59" s="12" t="s">
        <v>58</v>
      </c>
      <c r="J59" s="12">
        <f t="shared" ref="J59:J60" si="23">J58-M58</f>
        <v>10</v>
      </c>
      <c r="K59" s="12">
        <v>28.0</v>
      </c>
      <c r="L59" s="12">
        <v>33.0</v>
      </c>
      <c r="M59" s="12">
        <v>5.0</v>
      </c>
      <c r="N59" s="12" t="s">
        <v>64</v>
      </c>
      <c r="O59" s="12">
        <f t="shared" si="11"/>
        <v>5</v>
      </c>
      <c r="P59" s="14">
        <v>0.520735</v>
      </c>
      <c r="Q59" s="14">
        <v>0.4793</v>
      </c>
      <c r="R59" s="14">
        <v>-0.04144</v>
      </c>
      <c r="S59" s="12">
        <v>91.0</v>
      </c>
      <c r="T59" s="12" t="s">
        <v>28</v>
      </c>
      <c r="U59" s="12" t="s">
        <v>150</v>
      </c>
      <c r="V59" s="12" t="str">
        <f t="shared" si="22"/>
        <v>Ángel Alvarado para 5 yardas, 3er down</v>
      </c>
      <c r="W59" s="10">
        <v>7.0</v>
      </c>
      <c r="X59" s="10">
        <f t="shared" si="21"/>
        <v>12</v>
      </c>
    </row>
    <row r="60">
      <c r="A60" s="11">
        <v>2.0</v>
      </c>
      <c r="B60" s="12" t="s">
        <v>26</v>
      </c>
      <c r="C60" s="12">
        <v>10.0</v>
      </c>
      <c r="D60" s="11" t="s">
        <v>34</v>
      </c>
      <c r="E60" s="12" t="s">
        <v>26</v>
      </c>
      <c r="F60" s="12">
        <v>82.0</v>
      </c>
      <c r="G60" s="11" t="s">
        <v>116</v>
      </c>
      <c r="H60" s="12" t="s">
        <v>53</v>
      </c>
      <c r="I60" s="12" t="s">
        <v>69</v>
      </c>
      <c r="J60" s="12">
        <f t="shared" si="23"/>
        <v>5</v>
      </c>
      <c r="K60" s="12">
        <v>33.0</v>
      </c>
      <c r="L60" s="12">
        <v>45.0</v>
      </c>
      <c r="M60" s="12">
        <v>12.0</v>
      </c>
      <c r="N60" s="12" t="s">
        <v>48</v>
      </c>
      <c r="O60" s="12">
        <f t="shared" si="11"/>
        <v>10</v>
      </c>
      <c r="P60" s="14">
        <v>0.4793</v>
      </c>
      <c r="Q60" s="14">
        <v>2.387414</v>
      </c>
      <c r="R60" s="14">
        <v>1.908115</v>
      </c>
      <c r="S60" s="12" t="s">
        <v>27</v>
      </c>
      <c r="T60" s="12" t="s">
        <v>27</v>
      </c>
      <c r="U60" s="12" t="s">
        <v>27</v>
      </c>
      <c r="V60" s="12" t="str">
        <f>D60 &amp; H60 &amp; " completo para " &amp;G60 &amp; "para " &amp; M60 &amp; " yardas" </f>
        <v>Sergio Resendiz Pase completo para Marco Vinicio García para 12 yardas</v>
      </c>
      <c r="W60" s="10">
        <v>7.0</v>
      </c>
      <c r="X60" s="10">
        <f t="shared" si="21"/>
        <v>12</v>
      </c>
    </row>
    <row r="61">
      <c r="A61" s="11">
        <v>2.0</v>
      </c>
      <c r="B61" s="12" t="s">
        <v>26</v>
      </c>
      <c r="C61" s="12">
        <v>10.0</v>
      </c>
      <c r="D61" s="11" t="s">
        <v>34</v>
      </c>
      <c r="E61" s="12" t="s">
        <v>26</v>
      </c>
      <c r="F61" s="12">
        <v>20.0</v>
      </c>
      <c r="G61" s="12" t="s">
        <v>148</v>
      </c>
      <c r="H61" s="12" t="s">
        <v>38</v>
      </c>
      <c r="I61" s="12" t="s">
        <v>39</v>
      </c>
      <c r="J61" s="10">
        <v>10.0</v>
      </c>
      <c r="K61" s="12">
        <v>45.0</v>
      </c>
      <c r="L61" s="12">
        <v>45.0</v>
      </c>
      <c r="M61" s="12">
        <v>0.0</v>
      </c>
      <c r="N61" s="12" t="s">
        <v>54</v>
      </c>
      <c r="O61" s="12">
        <f t="shared" si="11"/>
        <v>10</v>
      </c>
      <c r="P61" s="14">
        <v>2.387414</v>
      </c>
      <c r="Q61" s="14">
        <v>1.818429</v>
      </c>
      <c r="R61" s="14">
        <v>-0.56899</v>
      </c>
      <c r="S61" s="12">
        <v>55.0</v>
      </c>
      <c r="T61" s="12" t="s">
        <v>28</v>
      </c>
      <c r="U61" s="12" t="s">
        <v>78</v>
      </c>
      <c r="V61" s="12" t="str">
        <f t="shared" ref="V61:V63" si="24">G61 &amp; "para " &amp; M61 &amp; " yardas, " &amp; N61</f>
        <v>Jorge Luis Chaib De Leónpara 0 yardas, 2do down</v>
      </c>
      <c r="W61" s="10">
        <v>7.0</v>
      </c>
      <c r="X61" s="10">
        <f t="shared" si="21"/>
        <v>12</v>
      </c>
    </row>
    <row r="62">
      <c r="A62" s="11">
        <v>2.0</v>
      </c>
      <c r="B62" s="12" t="s">
        <v>26</v>
      </c>
      <c r="C62" s="12">
        <v>10.0</v>
      </c>
      <c r="D62" s="11" t="s">
        <v>34</v>
      </c>
      <c r="E62" s="12" t="s">
        <v>26</v>
      </c>
      <c r="F62" s="12">
        <v>20.0</v>
      </c>
      <c r="G62" s="12" t="s">
        <v>148</v>
      </c>
      <c r="H62" s="12" t="s">
        <v>38</v>
      </c>
      <c r="I62" s="12" t="s">
        <v>58</v>
      </c>
      <c r="J62" s="12">
        <f t="shared" ref="J62:J63" si="25">J61-M61</f>
        <v>10</v>
      </c>
      <c r="K62" s="12">
        <v>45.0</v>
      </c>
      <c r="L62" s="12">
        <v>45.0</v>
      </c>
      <c r="M62" s="12">
        <v>0.0</v>
      </c>
      <c r="N62" s="12" t="s">
        <v>64</v>
      </c>
      <c r="O62" s="12">
        <f t="shared" si="11"/>
        <v>10</v>
      </c>
      <c r="P62" s="14">
        <v>1.818429</v>
      </c>
      <c r="Q62" s="14">
        <v>1.052055</v>
      </c>
      <c r="R62" s="14">
        <v>-0.76637</v>
      </c>
      <c r="S62" s="12">
        <v>91.0</v>
      </c>
      <c r="T62" s="12" t="s">
        <v>28</v>
      </c>
      <c r="U62" s="12" t="s">
        <v>150</v>
      </c>
      <c r="V62" s="12" t="str">
        <f t="shared" si="24"/>
        <v>Jorge Luis Chaib De Leónpara 0 yardas, 3er down</v>
      </c>
      <c r="W62" s="10">
        <v>7.0</v>
      </c>
      <c r="X62" s="10">
        <f t="shared" si="21"/>
        <v>12</v>
      </c>
    </row>
    <row r="63">
      <c r="A63" s="11">
        <v>2.0</v>
      </c>
      <c r="B63" s="12" t="s">
        <v>26</v>
      </c>
      <c r="C63" s="12">
        <v>10.0</v>
      </c>
      <c r="D63" s="11" t="s">
        <v>34</v>
      </c>
      <c r="E63" s="12" t="s">
        <v>26</v>
      </c>
      <c r="F63" s="12">
        <v>10.0</v>
      </c>
      <c r="G63" s="11" t="s">
        <v>34</v>
      </c>
      <c r="H63" s="12" t="s">
        <v>38</v>
      </c>
      <c r="I63" s="12" t="s">
        <v>69</v>
      </c>
      <c r="J63" s="12">
        <f t="shared" si="25"/>
        <v>10</v>
      </c>
      <c r="K63" s="12">
        <v>45.0</v>
      </c>
      <c r="L63" s="12">
        <v>49.0</v>
      </c>
      <c r="M63" s="12">
        <v>4.0</v>
      </c>
      <c r="N63" s="12" t="s">
        <v>70</v>
      </c>
      <c r="O63" s="12">
        <f t="shared" si="11"/>
        <v>6</v>
      </c>
      <c r="P63" s="14">
        <v>1.052055</v>
      </c>
      <c r="Q63" s="13">
        <v>-0.957550942</v>
      </c>
      <c r="R63" s="14">
        <f t="shared" ref="R63:R65" si="26">Q63-P63</f>
        <v>-2.009605942</v>
      </c>
      <c r="S63" s="12">
        <v>2.0</v>
      </c>
      <c r="T63" s="12" t="s">
        <v>28</v>
      </c>
      <c r="U63" s="12" t="s">
        <v>86</v>
      </c>
      <c r="V63" s="12" t="str">
        <f t="shared" si="24"/>
        <v>Sergio Resendiz para 4 yardas, 4to down</v>
      </c>
      <c r="W63" s="10">
        <v>7.0</v>
      </c>
      <c r="X63" s="10">
        <f t="shared" si="21"/>
        <v>12</v>
      </c>
    </row>
    <row r="64">
      <c r="A64" s="11">
        <v>2.0</v>
      </c>
      <c r="B64" s="12" t="s">
        <v>26</v>
      </c>
      <c r="C64" s="12" t="s">
        <v>27</v>
      </c>
      <c r="D64" s="12" t="s">
        <v>27</v>
      </c>
      <c r="E64" s="12" t="s">
        <v>26</v>
      </c>
      <c r="F64" s="12">
        <v>8.0</v>
      </c>
      <c r="G64" s="11" t="s">
        <v>119</v>
      </c>
      <c r="H64" s="12" t="s">
        <v>73</v>
      </c>
      <c r="I64" s="10" t="s">
        <v>74</v>
      </c>
      <c r="J64" s="10">
        <v>6.0</v>
      </c>
      <c r="K64" s="12">
        <v>35.0</v>
      </c>
      <c r="L64" s="12">
        <v>-25.0</v>
      </c>
      <c r="M64" s="12">
        <v>40.0</v>
      </c>
      <c r="N64" s="12" t="s">
        <v>157</v>
      </c>
      <c r="O64" s="12" t="str">
        <f t="shared" si="11"/>
        <v/>
      </c>
      <c r="P64" s="13">
        <v>-0.957550942</v>
      </c>
      <c r="Q64" s="13">
        <v>-0.885</v>
      </c>
      <c r="R64" s="14">
        <f t="shared" si="26"/>
        <v>0.072550942</v>
      </c>
      <c r="S64" s="12" t="s">
        <v>27</v>
      </c>
      <c r="T64" s="12" t="s">
        <v>27</v>
      </c>
      <c r="U64" s="12" t="s">
        <v>27</v>
      </c>
      <c r="V64" s="12" t="str">
        <f>G64 &amp; H64 &amp; " " &amp; M64 &amp; " yardas, " &amp; N64 &amp; " " &amp; H66</f>
        <v>Luis Ángel Olvera Punt 40 yardas, Muffed punt Balón recuperado a la defensiva</v>
      </c>
      <c r="W64" s="10">
        <v>7.0</v>
      </c>
      <c r="X64" s="10">
        <f t="shared" si="21"/>
        <v>12</v>
      </c>
    </row>
    <row r="65">
      <c r="A65" s="11">
        <v>2.0</v>
      </c>
      <c r="B65" s="12" t="s">
        <v>28</v>
      </c>
      <c r="C65" s="12" t="s">
        <v>27</v>
      </c>
      <c r="D65" s="12" t="s">
        <v>27</v>
      </c>
      <c r="E65" s="12" t="s">
        <v>28</v>
      </c>
      <c r="F65" s="12">
        <v>52.0</v>
      </c>
      <c r="G65" s="12" t="s">
        <v>255</v>
      </c>
      <c r="H65" s="12" t="s">
        <v>157</v>
      </c>
      <c r="I65" s="12" t="s">
        <v>27</v>
      </c>
      <c r="J65" s="12"/>
      <c r="K65" s="12">
        <v>25.0</v>
      </c>
      <c r="L65" s="12">
        <v>25.0</v>
      </c>
      <c r="M65" s="12">
        <v>0.0</v>
      </c>
      <c r="N65" s="12" t="s">
        <v>157</v>
      </c>
      <c r="O65" s="12" t="str">
        <f t="shared" si="11"/>
        <v/>
      </c>
      <c r="P65" s="13">
        <v>0.885</v>
      </c>
      <c r="Q65" s="14">
        <v>-3.920651</v>
      </c>
      <c r="R65" s="14">
        <f t="shared" si="26"/>
        <v>-4.805651</v>
      </c>
      <c r="S65" s="12" t="s">
        <v>27</v>
      </c>
      <c r="T65" s="12" t="s">
        <v>27</v>
      </c>
      <c r="U65" s="12" t="s">
        <v>27</v>
      </c>
      <c r="V65" s="12"/>
      <c r="W65" s="10">
        <v>7.0</v>
      </c>
      <c r="X65" s="10">
        <f t="shared" si="21"/>
        <v>12</v>
      </c>
    </row>
    <row r="66">
      <c r="A66" s="11">
        <v>2.0</v>
      </c>
      <c r="B66" s="12" t="s">
        <v>26</v>
      </c>
      <c r="C66" s="12" t="s">
        <v>27</v>
      </c>
      <c r="D66" s="12" t="s">
        <v>27</v>
      </c>
      <c r="E66" s="12" t="s">
        <v>26</v>
      </c>
      <c r="F66" s="12">
        <v>11.0</v>
      </c>
      <c r="G66" s="12" t="s">
        <v>125</v>
      </c>
      <c r="H66" s="12" t="s">
        <v>256</v>
      </c>
      <c r="I66" s="12" t="s">
        <v>27</v>
      </c>
      <c r="J66" s="12"/>
      <c r="K66" s="12">
        <v>-25.0</v>
      </c>
      <c r="L66" s="12">
        <v>-25.0</v>
      </c>
      <c r="M66" s="12">
        <v>0.0</v>
      </c>
      <c r="N66" s="12" t="s">
        <v>48</v>
      </c>
      <c r="O66" s="12">
        <f t="shared" si="11"/>
        <v>10</v>
      </c>
      <c r="P66" s="15"/>
      <c r="Q66" s="15"/>
      <c r="R66" s="14">
        <v>0.0</v>
      </c>
      <c r="S66" s="12" t="s">
        <v>27</v>
      </c>
      <c r="T66" s="12" t="s">
        <v>27</v>
      </c>
      <c r="U66" s="12" t="s">
        <v>27</v>
      </c>
      <c r="V66" s="12"/>
      <c r="W66" s="10">
        <v>7.0</v>
      </c>
      <c r="X66" s="10">
        <f t="shared" si="21"/>
        <v>12</v>
      </c>
    </row>
    <row r="67">
      <c r="A67" s="11">
        <v>2.0</v>
      </c>
      <c r="B67" s="12" t="s">
        <v>26</v>
      </c>
      <c r="C67" s="12">
        <v>10.0</v>
      </c>
      <c r="D67" s="11" t="s">
        <v>34</v>
      </c>
      <c r="E67" s="12" t="s">
        <v>26</v>
      </c>
      <c r="F67" s="12">
        <v>3.0</v>
      </c>
      <c r="G67" s="11" t="s">
        <v>128</v>
      </c>
      <c r="H67" s="12" t="s">
        <v>117</v>
      </c>
      <c r="I67" s="12" t="s">
        <v>39</v>
      </c>
      <c r="J67" s="10">
        <v>10.0</v>
      </c>
      <c r="K67" s="12">
        <v>-25.0</v>
      </c>
      <c r="L67" s="12">
        <v>-25.0</v>
      </c>
      <c r="M67" s="12">
        <v>0.0</v>
      </c>
      <c r="N67" s="12" t="s">
        <v>54</v>
      </c>
      <c r="O67" s="12">
        <f t="shared" si="11"/>
        <v>10</v>
      </c>
      <c r="P67" s="14">
        <v>3.920651</v>
      </c>
      <c r="Q67" s="14">
        <v>3.406558</v>
      </c>
      <c r="R67" s="14">
        <v>-0.51409</v>
      </c>
      <c r="S67" s="12" t="s">
        <v>27</v>
      </c>
      <c r="T67" s="12" t="s">
        <v>27</v>
      </c>
      <c r="U67" s="12" t="s">
        <v>27</v>
      </c>
      <c r="V67" s="12" t="str">
        <f>D67 &amp; H67 &amp; " intencionado para " &amp; G67</f>
        <v>Sergio Resendiz Pase incompleto intencionado para Aldo Herrera </v>
      </c>
      <c r="W67" s="10">
        <v>7.0</v>
      </c>
      <c r="X67" s="10">
        <f t="shared" si="21"/>
        <v>12</v>
      </c>
    </row>
    <row r="68">
      <c r="A68" s="11">
        <v>2.0</v>
      </c>
      <c r="B68" s="12" t="s">
        <v>26</v>
      </c>
      <c r="C68" s="12">
        <v>10.0</v>
      </c>
      <c r="D68" s="11" t="s">
        <v>34</v>
      </c>
      <c r="E68" s="12" t="s">
        <v>26</v>
      </c>
      <c r="F68" s="12">
        <v>8.0</v>
      </c>
      <c r="G68" s="11" t="s">
        <v>119</v>
      </c>
      <c r="H68" s="12" t="s">
        <v>53</v>
      </c>
      <c r="I68" s="12" t="s">
        <v>58</v>
      </c>
      <c r="J68" s="12">
        <f t="shared" ref="J68:J70" si="27">J67-M67</f>
        <v>10</v>
      </c>
      <c r="K68" s="12">
        <v>-25.0</v>
      </c>
      <c r="L68" s="12">
        <v>-21.0</v>
      </c>
      <c r="M68" s="12">
        <v>4.0</v>
      </c>
      <c r="N68" s="12" t="s">
        <v>64</v>
      </c>
      <c r="O68" s="12">
        <f t="shared" si="11"/>
        <v>6</v>
      </c>
      <c r="P68" s="14">
        <v>3.406558</v>
      </c>
      <c r="Q68" s="14">
        <v>3.162146</v>
      </c>
      <c r="R68" s="14">
        <v>-0.24441</v>
      </c>
      <c r="S68" s="12">
        <v>10.0</v>
      </c>
      <c r="T68" s="12" t="s">
        <v>28</v>
      </c>
      <c r="U68" s="12" t="s">
        <v>114</v>
      </c>
      <c r="V68" s="12" t="str">
        <f>D68 &amp; H68 &amp; " completo para " &amp;G68 &amp; "para " &amp; M68 &amp; " yardas" </f>
        <v>Sergio Resendiz Pase completo para Luis Ángel Olvera para 4 yardas</v>
      </c>
      <c r="W68" s="10">
        <v>7.0</v>
      </c>
      <c r="X68" s="10">
        <f t="shared" si="21"/>
        <v>12</v>
      </c>
    </row>
    <row r="69">
      <c r="A69" s="11">
        <v>2.0</v>
      </c>
      <c r="B69" s="12" t="s">
        <v>26</v>
      </c>
      <c r="C69" s="12">
        <v>10.0</v>
      </c>
      <c r="D69" s="11" t="s">
        <v>34</v>
      </c>
      <c r="E69" s="12" t="s">
        <v>26</v>
      </c>
      <c r="F69" s="12">
        <v>10.0</v>
      </c>
      <c r="G69" s="11" t="s">
        <v>34</v>
      </c>
      <c r="H69" s="12" t="s">
        <v>38</v>
      </c>
      <c r="I69" s="12" t="s">
        <v>69</v>
      </c>
      <c r="J69" s="12">
        <f t="shared" si="27"/>
        <v>6</v>
      </c>
      <c r="K69" s="12">
        <v>-21.0</v>
      </c>
      <c r="L69" s="12">
        <v>-17.0</v>
      </c>
      <c r="M69" s="12">
        <v>4.0</v>
      </c>
      <c r="N69" s="12" t="s">
        <v>70</v>
      </c>
      <c r="O69" s="12">
        <f t="shared" si="11"/>
        <v>2</v>
      </c>
      <c r="P69" s="14">
        <v>3.162146</v>
      </c>
      <c r="Q69" s="14">
        <v>2.576926</v>
      </c>
      <c r="R69" s="14">
        <v>-0.58522</v>
      </c>
      <c r="S69" s="12">
        <v>2.0</v>
      </c>
      <c r="T69" s="12" t="s">
        <v>28</v>
      </c>
      <c r="U69" s="12" t="s">
        <v>86</v>
      </c>
      <c r="V69" s="12" t="str">
        <f t="shared" ref="V69:V70" si="28">G69 &amp; "para " &amp; M69 &amp; " yardas, " &amp; N69</f>
        <v>Sergio Resendiz para 4 yardas, 4to down</v>
      </c>
      <c r="W69" s="10">
        <v>7.0</v>
      </c>
      <c r="X69" s="10">
        <f t="shared" si="21"/>
        <v>12</v>
      </c>
    </row>
    <row r="70">
      <c r="A70" s="11">
        <v>2.0</v>
      </c>
      <c r="B70" s="12" t="s">
        <v>26</v>
      </c>
      <c r="C70" s="12">
        <v>10.0</v>
      </c>
      <c r="D70" s="11" t="s">
        <v>34</v>
      </c>
      <c r="E70" s="12" t="s">
        <v>26</v>
      </c>
      <c r="F70" s="12">
        <v>10.0</v>
      </c>
      <c r="G70" s="11" t="s">
        <v>34</v>
      </c>
      <c r="H70" s="12" t="s">
        <v>38</v>
      </c>
      <c r="I70" s="12" t="s">
        <v>74</v>
      </c>
      <c r="J70" s="12">
        <f t="shared" si="27"/>
        <v>2</v>
      </c>
      <c r="K70" s="12">
        <v>-17.0</v>
      </c>
      <c r="L70" s="12">
        <v>-12.0</v>
      </c>
      <c r="M70" s="12">
        <v>5.0</v>
      </c>
      <c r="N70" s="12" t="s">
        <v>48</v>
      </c>
      <c r="O70" s="12">
        <f t="shared" si="11"/>
        <v>10</v>
      </c>
      <c r="P70" s="14">
        <v>2.576926</v>
      </c>
      <c r="Q70" s="14">
        <v>4.38361</v>
      </c>
      <c r="R70" s="14">
        <v>1.806684</v>
      </c>
      <c r="S70" s="12">
        <v>29.0</v>
      </c>
      <c r="T70" s="12" t="s">
        <v>28</v>
      </c>
      <c r="U70" s="12" t="s">
        <v>80</v>
      </c>
      <c r="V70" s="12" t="str">
        <f t="shared" si="28"/>
        <v>Sergio Resendiz para 5 yardas, 1er down</v>
      </c>
      <c r="W70" s="10">
        <v>7.0</v>
      </c>
      <c r="X70" s="10">
        <f t="shared" si="21"/>
        <v>12</v>
      </c>
    </row>
    <row r="71">
      <c r="A71" s="11">
        <v>2.0</v>
      </c>
      <c r="B71" s="12" t="s">
        <v>26</v>
      </c>
      <c r="C71" s="12" t="s">
        <v>27</v>
      </c>
      <c r="D71" s="12" t="s">
        <v>27</v>
      </c>
      <c r="E71" s="12" t="s">
        <v>28</v>
      </c>
      <c r="F71" s="12" t="s">
        <v>27</v>
      </c>
      <c r="G71" s="12" t="s">
        <v>27</v>
      </c>
      <c r="H71" s="12" t="s">
        <v>161</v>
      </c>
      <c r="I71" s="12" t="s">
        <v>39</v>
      </c>
      <c r="J71" s="10">
        <v>10.0</v>
      </c>
      <c r="K71" s="12">
        <v>-12.0</v>
      </c>
      <c r="L71" s="12">
        <v>-6.0</v>
      </c>
      <c r="M71" s="12">
        <v>6.0</v>
      </c>
      <c r="N71" s="12" t="s">
        <v>48</v>
      </c>
      <c r="O71" s="12" t="str">
        <f t="shared" si="11"/>
        <v/>
      </c>
      <c r="P71" s="14">
        <v>4.38361</v>
      </c>
      <c r="Q71" s="13">
        <v>5.334811449</v>
      </c>
      <c r="R71" s="14">
        <f t="shared" ref="R71:R72" si="29">Q71-P71</f>
        <v>0.951201449</v>
      </c>
      <c r="S71" s="12" t="s">
        <v>27</v>
      </c>
      <c r="T71" s="12" t="s">
        <v>27</v>
      </c>
      <c r="U71" s="12" t="s">
        <v>27</v>
      </c>
      <c r="V71" s="12" t="str">
        <f t="shared" ref="V71:V72" si="30">H71 &amp; ", " &amp; M71 &amp; " yardas"</f>
        <v>Castigo a la defensiva, 6 yardas</v>
      </c>
      <c r="W71" s="10">
        <v>7.0</v>
      </c>
      <c r="X71" s="10">
        <f t="shared" si="21"/>
        <v>12</v>
      </c>
    </row>
    <row r="72">
      <c r="A72" s="11">
        <v>2.0</v>
      </c>
      <c r="B72" s="12" t="s">
        <v>26</v>
      </c>
      <c r="C72" s="12" t="s">
        <v>27</v>
      </c>
      <c r="D72" s="12" t="s">
        <v>27</v>
      </c>
      <c r="E72" s="12" t="s">
        <v>26</v>
      </c>
      <c r="F72" s="12" t="s">
        <v>27</v>
      </c>
      <c r="G72" s="12" t="s">
        <v>27</v>
      </c>
      <c r="H72" s="12" t="s">
        <v>106</v>
      </c>
      <c r="I72" s="12" t="s">
        <v>27</v>
      </c>
      <c r="J72" s="12"/>
      <c r="K72" s="12">
        <v>-6.0</v>
      </c>
      <c r="L72" s="12">
        <v>-21.0</v>
      </c>
      <c r="M72" s="12">
        <v>-15.0</v>
      </c>
      <c r="N72" s="12" t="s">
        <v>48</v>
      </c>
      <c r="O72" s="12">
        <f t="shared" si="11"/>
        <v>10</v>
      </c>
      <c r="P72" s="13">
        <v>5.334811449</v>
      </c>
      <c r="Q72" s="14">
        <v>4.085037</v>
      </c>
      <c r="R72" s="14">
        <f t="shared" si="29"/>
        <v>-1.249774449</v>
      </c>
      <c r="S72" s="12" t="s">
        <v>27</v>
      </c>
      <c r="T72" s="12" t="s">
        <v>27</v>
      </c>
      <c r="U72" s="12" t="s">
        <v>27</v>
      </c>
      <c r="V72" s="12" t="str">
        <f t="shared" si="30"/>
        <v>Castigo a la ofensiva, -15 yardas</v>
      </c>
      <c r="W72" s="10">
        <v>7.0</v>
      </c>
      <c r="X72" s="10">
        <f t="shared" si="21"/>
        <v>12</v>
      </c>
    </row>
    <row r="73">
      <c r="A73" s="11">
        <v>2.0</v>
      </c>
      <c r="B73" s="12" t="s">
        <v>26</v>
      </c>
      <c r="C73" s="12">
        <v>10.0</v>
      </c>
      <c r="D73" s="11" t="s">
        <v>34</v>
      </c>
      <c r="E73" s="12" t="s">
        <v>26</v>
      </c>
      <c r="F73" s="12">
        <v>31.0</v>
      </c>
      <c r="G73" s="11" t="s">
        <v>35</v>
      </c>
      <c r="H73" s="12" t="s">
        <v>53</v>
      </c>
      <c r="I73" s="12" t="s">
        <v>39</v>
      </c>
      <c r="J73" s="10">
        <v>10.0</v>
      </c>
      <c r="K73" s="12">
        <v>-21.0</v>
      </c>
      <c r="L73" s="12">
        <v>-5.0</v>
      </c>
      <c r="M73" s="12">
        <v>16.0</v>
      </c>
      <c r="N73" s="12" t="s">
        <v>48</v>
      </c>
      <c r="O73" s="12">
        <f t="shared" si="11"/>
        <v>5</v>
      </c>
      <c r="P73" s="14">
        <v>4.085037</v>
      </c>
      <c r="Q73" s="14">
        <v>5.436957</v>
      </c>
      <c r="R73" s="14">
        <v>1.35192</v>
      </c>
      <c r="S73" s="12" t="s">
        <v>27</v>
      </c>
      <c r="T73" s="12" t="s">
        <v>27</v>
      </c>
      <c r="U73" s="12" t="s">
        <v>27</v>
      </c>
      <c r="V73" s="12" t="str">
        <f>D73 &amp; H73 &amp; " completo para " &amp;G73 &amp; "para " &amp; M73 &amp; " yardas" </f>
        <v>Sergio Resendiz Pase completo para Ángel Alvarado para 16 yardas</v>
      </c>
      <c r="W73" s="10">
        <v>7.0</v>
      </c>
      <c r="X73" s="10">
        <f t="shared" si="21"/>
        <v>12</v>
      </c>
    </row>
    <row r="74">
      <c r="A74" s="11">
        <v>2.0</v>
      </c>
      <c r="B74" s="12" t="s">
        <v>26</v>
      </c>
      <c r="C74" s="12">
        <v>10.0</v>
      </c>
      <c r="D74" s="11" t="s">
        <v>34</v>
      </c>
      <c r="E74" s="12" t="s">
        <v>26</v>
      </c>
      <c r="F74" s="12">
        <v>21.0</v>
      </c>
      <c r="G74" s="12" t="s">
        <v>77</v>
      </c>
      <c r="H74" s="12" t="s">
        <v>38</v>
      </c>
      <c r="I74" s="12" t="s">
        <v>39</v>
      </c>
      <c r="J74" s="10">
        <v>5.0</v>
      </c>
      <c r="K74" s="12">
        <v>-5.0</v>
      </c>
      <c r="L74" s="12">
        <v>0.0</v>
      </c>
      <c r="M74" s="12">
        <v>5.0</v>
      </c>
      <c r="N74" s="12" t="s">
        <v>40</v>
      </c>
      <c r="O74" s="12" t="str">
        <f t="shared" si="11"/>
        <v/>
      </c>
      <c r="P74" s="14">
        <v>5.436957</v>
      </c>
      <c r="Q74" s="14">
        <v>7.0</v>
      </c>
      <c r="R74" s="14">
        <v>1.563043</v>
      </c>
      <c r="S74" s="12" t="s">
        <v>27</v>
      </c>
      <c r="T74" s="12" t="s">
        <v>27</v>
      </c>
      <c r="U74" s="12" t="s">
        <v>27</v>
      </c>
      <c r="V74" s="12" t="str">
        <f>G74 &amp; "para " &amp; M74 &amp; " yardas, " &amp; N74</f>
        <v>Eduardo Martínez Alvaradopara 5 yardas, TD</v>
      </c>
      <c r="W74" s="10">
        <v>7.0</v>
      </c>
      <c r="X74" s="10">
        <v>18.0</v>
      </c>
    </row>
    <row r="75">
      <c r="A75" s="11">
        <v>2.0</v>
      </c>
      <c r="B75" s="12" t="s">
        <v>26</v>
      </c>
      <c r="C75" s="12" t="s">
        <v>27</v>
      </c>
      <c r="D75" s="12" t="s">
        <v>27</v>
      </c>
      <c r="E75" s="12" t="s">
        <v>26</v>
      </c>
      <c r="F75" s="12">
        <v>42.0</v>
      </c>
      <c r="G75" s="12" t="s">
        <v>42</v>
      </c>
      <c r="H75" s="12" t="s">
        <v>43</v>
      </c>
      <c r="I75" s="12" t="s">
        <v>27</v>
      </c>
      <c r="J75" s="12"/>
      <c r="K75" s="12">
        <v>-10.0</v>
      </c>
      <c r="L75" s="12">
        <v>0.0</v>
      </c>
      <c r="M75" s="12">
        <v>20.0</v>
      </c>
      <c r="N75" s="12" t="s">
        <v>146</v>
      </c>
      <c r="O75" s="12" t="str">
        <f t="shared" si="11"/>
        <v/>
      </c>
      <c r="P75" s="15"/>
      <c r="Q75" s="15"/>
      <c r="R75" s="14">
        <v>0.0</v>
      </c>
      <c r="S75" s="12" t="s">
        <v>27</v>
      </c>
      <c r="T75" s="12" t="s">
        <v>27</v>
      </c>
      <c r="U75" s="12" t="s">
        <v>27</v>
      </c>
      <c r="V75" s="12" t="str">
        <f>G75 &amp; " " &amp; N75</f>
        <v>Reynaldo Adolfo Blanco Palomo PAT exitosa</v>
      </c>
      <c r="W75" s="10">
        <v>7.0</v>
      </c>
      <c r="X75" s="10">
        <v>19.0</v>
      </c>
    </row>
    <row r="76">
      <c r="A76" s="11">
        <v>2.0</v>
      </c>
      <c r="B76" s="12" t="s">
        <v>26</v>
      </c>
      <c r="C76" s="12" t="s">
        <v>27</v>
      </c>
      <c r="D76" s="12" t="s">
        <v>27</v>
      </c>
      <c r="E76" s="12" t="s">
        <v>26</v>
      </c>
      <c r="F76" s="12">
        <v>42.0</v>
      </c>
      <c r="G76" s="12" t="s">
        <v>42</v>
      </c>
      <c r="H76" s="12" t="s">
        <v>31</v>
      </c>
      <c r="I76" s="12" t="s">
        <v>27</v>
      </c>
      <c r="J76" s="12"/>
      <c r="K76" s="12">
        <v>35.0</v>
      </c>
      <c r="L76" s="12">
        <v>-12.0</v>
      </c>
      <c r="M76" s="12">
        <v>53.0</v>
      </c>
      <c r="N76" s="12" t="s">
        <v>167</v>
      </c>
      <c r="O76" s="12" t="str">
        <f t="shared" si="11"/>
        <v/>
      </c>
      <c r="P76" s="13">
        <v>0.0</v>
      </c>
      <c r="Q76" s="14">
        <v>0.156353</v>
      </c>
      <c r="R76" s="14">
        <f>Q76-P78</f>
        <v>0.156353</v>
      </c>
      <c r="S76" s="12" t="s">
        <v>27</v>
      </c>
      <c r="T76" s="12" t="s">
        <v>27</v>
      </c>
      <c r="U76" s="12" t="s">
        <v>27</v>
      </c>
      <c r="V76" s="12" t="str">
        <f>G76 &amp; " kicks off " &amp; M76 &amp; " yardas, " &amp; N76 &amp; " por " &amp; G77 &amp; " para " &amp; M77 &amp; " yardas"</f>
        <v>Reynaldo Adolfo Blanco Palomo kicks off 53 yardas, Regreso por Alejandro Cruz  para 23 yardas</v>
      </c>
      <c r="W76" s="10">
        <v>7.0</v>
      </c>
      <c r="X76" s="10">
        <v>19.0</v>
      </c>
    </row>
    <row r="77">
      <c r="A77" s="11">
        <v>2.0</v>
      </c>
      <c r="B77" s="12" t="s">
        <v>28</v>
      </c>
      <c r="C77" s="12" t="s">
        <v>27</v>
      </c>
      <c r="D77" s="12" t="s">
        <v>27</v>
      </c>
      <c r="E77" s="12" t="s">
        <v>28</v>
      </c>
      <c r="F77" s="12">
        <v>23.0</v>
      </c>
      <c r="G77" s="11" t="s">
        <v>61</v>
      </c>
      <c r="H77" s="12" t="s">
        <v>47</v>
      </c>
      <c r="I77" s="12" t="s">
        <v>27</v>
      </c>
      <c r="J77" s="12"/>
      <c r="K77" s="12">
        <v>12.0</v>
      </c>
      <c r="L77" s="12">
        <v>35.0</v>
      </c>
      <c r="M77" s="12">
        <v>23.0</v>
      </c>
      <c r="N77" s="12" t="s">
        <v>48</v>
      </c>
      <c r="O77" s="12" t="str">
        <f t="shared" si="11"/>
        <v/>
      </c>
      <c r="P77" s="15"/>
      <c r="Q77" s="15"/>
      <c r="R77" s="14">
        <v>0.0</v>
      </c>
      <c r="S77" s="12" t="s">
        <v>27</v>
      </c>
      <c r="T77" s="12" t="s">
        <v>27</v>
      </c>
      <c r="U77" s="12" t="s">
        <v>27</v>
      </c>
      <c r="V77" s="12" t="s">
        <v>168</v>
      </c>
      <c r="W77" s="10">
        <v>7.0</v>
      </c>
      <c r="X77" s="10">
        <v>19.0</v>
      </c>
    </row>
    <row r="78">
      <c r="A78" s="11">
        <v>2.0</v>
      </c>
      <c r="B78" s="12" t="s">
        <v>28</v>
      </c>
      <c r="C78" s="12" t="s">
        <v>27</v>
      </c>
      <c r="D78" s="12" t="s">
        <v>27</v>
      </c>
      <c r="E78" s="12" t="s">
        <v>28</v>
      </c>
      <c r="F78" s="12" t="s">
        <v>27</v>
      </c>
      <c r="G78" s="12" t="s">
        <v>27</v>
      </c>
      <c r="H78" s="12" t="s">
        <v>106</v>
      </c>
      <c r="I78" s="12" t="s">
        <v>27</v>
      </c>
      <c r="J78" s="12"/>
      <c r="K78" s="12">
        <v>24.0</v>
      </c>
      <c r="L78" s="12">
        <v>14.0</v>
      </c>
      <c r="M78" s="12">
        <v>-10.0</v>
      </c>
      <c r="N78" s="12" t="s">
        <v>48</v>
      </c>
      <c r="O78" s="12">
        <f t="shared" si="11"/>
        <v>10</v>
      </c>
      <c r="P78" s="13"/>
      <c r="S78" s="12" t="s">
        <v>27</v>
      </c>
      <c r="T78" s="12" t="s">
        <v>27</v>
      </c>
      <c r="U78" s="12" t="s">
        <v>27</v>
      </c>
      <c r="V78" s="12" t="str">
        <f>H78 &amp; ", " &amp; M78 &amp; " yardas"</f>
        <v>Castigo a la ofensiva, -10 yardas</v>
      </c>
      <c r="W78" s="10">
        <v>7.0</v>
      </c>
      <c r="X78" s="10">
        <v>19.0</v>
      </c>
    </row>
    <row r="79">
      <c r="A79" s="11">
        <v>2.0</v>
      </c>
      <c r="B79" s="12" t="s">
        <v>28</v>
      </c>
      <c r="C79" s="12">
        <v>15.0</v>
      </c>
      <c r="D79" s="11" t="s">
        <v>51</v>
      </c>
      <c r="E79" s="12" t="s">
        <v>28</v>
      </c>
      <c r="F79" s="12">
        <v>23.0</v>
      </c>
      <c r="G79" s="11" t="s">
        <v>61</v>
      </c>
      <c r="H79" s="12" t="s">
        <v>38</v>
      </c>
      <c r="I79" s="12" t="s">
        <v>39</v>
      </c>
      <c r="J79" s="10">
        <v>10.0</v>
      </c>
      <c r="K79" s="10">
        <v>16.0</v>
      </c>
      <c r="L79" s="12">
        <v>21.0</v>
      </c>
      <c r="M79" s="10">
        <v>5.0</v>
      </c>
      <c r="N79" s="12" t="s">
        <v>54</v>
      </c>
      <c r="O79" s="12">
        <f t="shared" si="11"/>
        <v>5</v>
      </c>
      <c r="P79" s="14">
        <v>0.156353</v>
      </c>
      <c r="Q79" s="14">
        <v>0.237167</v>
      </c>
      <c r="R79" s="14">
        <v>0.080814</v>
      </c>
      <c r="S79" s="12" t="s">
        <v>27</v>
      </c>
      <c r="T79" s="12" t="s">
        <v>27</v>
      </c>
      <c r="U79" s="12" t="s">
        <v>27</v>
      </c>
      <c r="V79" s="12" t="str">
        <f t="shared" ref="V79:V80" si="31">G79 &amp; "para " &amp; M79 &amp; " yardas, " &amp; N79</f>
        <v>Alejandro Cruz para 5 yardas, 2do down</v>
      </c>
      <c r="W79" s="10">
        <v>7.0</v>
      </c>
      <c r="X79" s="10">
        <v>19.0</v>
      </c>
    </row>
    <row r="80">
      <c r="A80" s="11">
        <v>2.0</v>
      </c>
      <c r="B80" s="12" t="s">
        <v>28</v>
      </c>
      <c r="C80" s="12">
        <v>15.0</v>
      </c>
      <c r="D80" s="11" t="s">
        <v>51</v>
      </c>
      <c r="E80" s="12" t="s">
        <v>28</v>
      </c>
      <c r="F80" s="12">
        <v>15.0</v>
      </c>
      <c r="G80" s="11" t="s">
        <v>51</v>
      </c>
      <c r="H80" s="12" t="s">
        <v>38</v>
      </c>
      <c r="I80" s="12" t="s">
        <v>58</v>
      </c>
      <c r="J80" s="12">
        <f t="shared" ref="J80:J81" si="32">J79-M79</f>
        <v>5</v>
      </c>
      <c r="K80" s="12">
        <v>21.0</v>
      </c>
      <c r="L80" s="12">
        <v>23.0</v>
      </c>
      <c r="M80" s="12">
        <v>2.0</v>
      </c>
      <c r="N80" s="12" t="s">
        <v>64</v>
      </c>
      <c r="O80" s="12">
        <f t="shared" si="11"/>
        <v>3</v>
      </c>
      <c r="P80" s="14">
        <v>0.237167</v>
      </c>
      <c r="Q80" s="14">
        <v>-0.09611</v>
      </c>
      <c r="R80" s="14">
        <v>-0.33327</v>
      </c>
      <c r="S80" s="12">
        <v>2.0</v>
      </c>
      <c r="T80" s="12" t="s">
        <v>26</v>
      </c>
      <c r="U80" s="12" t="s">
        <v>62</v>
      </c>
      <c r="V80" s="12" t="str">
        <f t="shared" si="31"/>
        <v>Fernando Sarabia para 2 yardas, 3er down</v>
      </c>
      <c r="W80" s="10">
        <v>7.0</v>
      </c>
      <c r="X80" s="10">
        <v>19.0</v>
      </c>
    </row>
    <row r="81">
      <c r="A81" s="11">
        <v>2.0</v>
      </c>
      <c r="B81" s="12" t="s">
        <v>28</v>
      </c>
      <c r="C81" s="12">
        <v>15.0</v>
      </c>
      <c r="D81" s="11" t="s">
        <v>51</v>
      </c>
      <c r="E81" s="12" t="s">
        <v>28</v>
      </c>
      <c r="F81" s="12">
        <v>83.0</v>
      </c>
      <c r="G81" s="12" t="s">
        <v>171</v>
      </c>
      <c r="H81" s="12" t="s">
        <v>53</v>
      </c>
      <c r="I81" s="12" t="s">
        <v>69</v>
      </c>
      <c r="J81" s="12">
        <f t="shared" si="32"/>
        <v>3</v>
      </c>
      <c r="K81" s="12">
        <v>23.0</v>
      </c>
      <c r="L81" s="12">
        <v>39.0</v>
      </c>
      <c r="M81" s="12">
        <v>16.0</v>
      </c>
      <c r="N81" s="12" t="s">
        <v>48</v>
      </c>
      <c r="O81" s="12">
        <f t="shared" si="11"/>
        <v>10</v>
      </c>
      <c r="P81" s="14">
        <v>-0.09611</v>
      </c>
      <c r="Q81" s="14">
        <v>1.990539</v>
      </c>
      <c r="R81" s="14">
        <v>2.086645</v>
      </c>
      <c r="S81" s="12">
        <v>19.0</v>
      </c>
      <c r="T81" s="12" t="s">
        <v>26</v>
      </c>
      <c r="U81" s="12" t="s">
        <v>172</v>
      </c>
      <c r="V81" s="12" t="str">
        <f>D81 &amp; H81 &amp; " completo para " &amp;G81 &amp; "para " &amp; M81 &amp; " yardas" </f>
        <v>Fernando Sarabia Pase completo para Wilfredo Fausto Valdezpara 16 yardas</v>
      </c>
      <c r="W81" s="10">
        <v>7.0</v>
      </c>
      <c r="X81" s="10">
        <v>19.0</v>
      </c>
    </row>
    <row r="82">
      <c r="A82" s="11">
        <v>2.0</v>
      </c>
      <c r="B82" s="12" t="s">
        <v>28</v>
      </c>
      <c r="C82" s="12">
        <v>15.0</v>
      </c>
      <c r="D82" s="11" t="s">
        <v>51</v>
      </c>
      <c r="E82" s="12" t="s">
        <v>28</v>
      </c>
      <c r="F82" s="12">
        <v>4.0</v>
      </c>
      <c r="G82" s="11" t="s">
        <v>52</v>
      </c>
      <c r="H82" s="12" t="s">
        <v>117</v>
      </c>
      <c r="I82" s="12" t="s">
        <v>39</v>
      </c>
      <c r="J82" s="10">
        <v>10.0</v>
      </c>
      <c r="K82" s="12">
        <v>39.0</v>
      </c>
      <c r="L82" s="12">
        <v>39.0</v>
      </c>
      <c r="M82" s="12">
        <v>0.0</v>
      </c>
      <c r="N82" s="12" t="s">
        <v>54</v>
      </c>
      <c r="O82" s="12">
        <f t="shared" si="11"/>
        <v>10</v>
      </c>
      <c r="P82" s="14">
        <v>1.990539</v>
      </c>
      <c r="Q82" s="14">
        <v>1.399924</v>
      </c>
      <c r="R82" s="14">
        <v>-0.59062</v>
      </c>
      <c r="S82" s="12" t="s">
        <v>27</v>
      </c>
      <c r="T82" s="12" t="s">
        <v>27</v>
      </c>
      <c r="U82" s="12" t="s">
        <v>27</v>
      </c>
      <c r="V82" s="12" t="str">
        <f>D82 &amp; H82 &amp; " intencionado para " &amp; G82</f>
        <v>Fernando Sarabia Pase incompleto intencionado para Víctor Palacios </v>
      </c>
      <c r="W82" s="10">
        <v>7.0</v>
      </c>
      <c r="X82" s="10">
        <v>19.0</v>
      </c>
    </row>
    <row r="83">
      <c r="A83" s="11">
        <v>2.0</v>
      </c>
      <c r="B83" s="12" t="s">
        <v>28</v>
      </c>
      <c r="C83" s="12">
        <v>15.0</v>
      </c>
      <c r="D83" s="11" t="s">
        <v>51</v>
      </c>
      <c r="E83" s="12" t="s">
        <v>28</v>
      </c>
      <c r="F83" s="12">
        <v>4.0</v>
      </c>
      <c r="G83" s="11" t="s">
        <v>52</v>
      </c>
      <c r="H83" s="12" t="s">
        <v>53</v>
      </c>
      <c r="I83" s="12" t="s">
        <v>58</v>
      </c>
      <c r="J83" s="12">
        <f>J82-M82</f>
        <v>10</v>
      </c>
      <c r="K83" s="12">
        <v>39.0</v>
      </c>
      <c r="L83" s="12">
        <v>-36.0</v>
      </c>
      <c r="M83" s="12">
        <v>25.0</v>
      </c>
      <c r="N83" s="12" t="s">
        <v>48</v>
      </c>
      <c r="O83" s="12">
        <f t="shared" si="11"/>
        <v>10</v>
      </c>
      <c r="P83" s="14">
        <v>1.399924</v>
      </c>
      <c r="Q83" s="14">
        <v>3.450473</v>
      </c>
      <c r="R83" s="14">
        <v>2.050549</v>
      </c>
      <c r="S83" s="12">
        <v>22.0</v>
      </c>
      <c r="T83" s="12" t="s">
        <v>26</v>
      </c>
      <c r="U83" s="12" t="s">
        <v>174</v>
      </c>
      <c r="V83" s="12" t="str">
        <f>D83 &amp; H83 &amp; " completo para " &amp;G83 &amp; "para " &amp; M83 &amp; " yardas" </f>
        <v>Fernando Sarabia Pase completo para Víctor Palacios para 25 yardas</v>
      </c>
      <c r="W83" s="10">
        <v>7.0</v>
      </c>
      <c r="X83" s="10">
        <v>19.0</v>
      </c>
    </row>
    <row r="84">
      <c r="A84" s="11">
        <v>2.0</v>
      </c>
      <c r="B84" s="12" t="s">
        <v>28</v>
      </c>
      <c r="C84" s="12">
        <v>15.0</v>
      </c>
      <c r="D84" s="11" t="s">
        <v>51</v>
      </c>
      <c r="E84" s="12" t="s">
        <v>28</v>
      </c>
      <c r="F84" s="12">
        <v>28.0</v>
      </c>
      <c r="G84" s="10" t="s">
        <v>176</v>
      </c>
      <c r="H84" s="12" t="s">
        <v>94</v>
      </c>
      <c r="I84" s="10" t="s">
        <v>39</v>
      </c>
      <c r="J84" s="10">
        <v>10.0</v>
      </c>
      <c r="K84" s="10">
        <v>-36.0</v>
      </c>
      <c r="L84" s="12">
        <v>0.0</v>
      </c>
      <c r="M84" s="12">
        <v>53.0</v>
      </c>
      <c r="N84" s="12" t="s">
        <v>95</v>
      </c>
      <c r="O84" s="12" t="str">
        <f t="shared" si="11"/>
        <v/>
      </c>
      <c r="P84" s="14">
        <v>3.450473</v>
      </c>
      <c r="Q84" s="13">
        <v>3.0</v>
      </c>
      <c r="R84" s="14">
        <f>Q84-P84</f>
        <v>-0.450473</v>
      </c>
      <c r="S84" s="12" t="s">
        <v>27</v>
      </c>
      <c r="T84" s="12" t="s">
        <v>27</v>
      </c>
      <c r="U84" s="12" t="s">
        <v>27</v>
      </c>
      <c r="V84" s="12" t="str">
        <f>G84 &amp; N84</f>
        <v>Roberto Medina FG bueno</v>
      </c>
      <c r="W84" s="10">
        <v>10.0</v>
      </c>
      <c r="X84" s="10">
        <v>19.0</v>
      </c>
    </row>
    <row r="85">
      <c r="A85" s="11">
        <v>3.0</v>
      </c>
      <c r="B85" s="12" t="s">
        <v>26</v>
      </c>
      <c r="C85" s="12" t="s">
        <v>27</v>
      </c>
      <c r="D85" s="12" t="s">
        <v>27</v>
      </c>
      <c r="E85" s="12" t="s">
        <v>26</v>
      </c>
      <c r="F85" s="12">
        <v>42.0</v>
      </c>
      <c r="G85" s="12" t="s">
        <v>42</v>
      </c>
      <c r="H85" s="12" t="s">
        <v>31</v>
      </c>
      <c r="I85" s="12" t="s">
        <v>27</v>
      </c>
      <c r="J85" s="12"/>
      <c r="K85" s="12">
        <v>35.0</v>
      </c>
      <c r="L85" s="12">
        <v>-6.0</v>
      </c>
      <c r="M85" s="12">
        <v>59.0</v>
      </c>
      <c r="N85" s="12" t="s">
        <v>167</v>
      </c>
      <c r="O85" s="12" t="str">
        <f t="shared" si="11"/>
        <v/>
      </c>
      <c r="P85" s="15"/>
      <c r="Q85" s="15"/>
      <c r="R85" s="14">
        <v>0.0</v>
      </c>
      <c r="S85" s="12" t="s">
        <v>27</v>
      </c>
      <c r="T85" s="12" t="s">
        <v>27</v>
      </c>
      <c r="U85" s="12" t="s">
        <v>27</v>
      </c>
      <c r="V85" s="12" t="str">
        <f>G85 &amp; " kicks off " &amp; M85 &amp; " yardas, " &amp; N85 &amp; " por " &amp; G86 &amp; " para " &amp; M86 &amp; " yardas"</f>
        <v>Reynaldo Adolfo Blanco Palomo kicks off 59 yardas, Regreso por Alejandro Cruz  para 13 yardas</v>
      </c>
      <c r="W85" s="10">
        <v>10.0</v>
      </c>
      <c r="X85" s="10">
        <v>19.0</v>
      </c>
    </row>
    <row r="86">
      <c r="A86" s="10">
        <v>3.0</v>
      </c>
      <c r="B86" s="12" t="s">
        <v>28</v>
      </c>
      <c r="C86" s="12" t="s">
        <v>27</v>
      </c>
      <c r="D86" s="12" t="s">
        <v>27</v>
      </c>
      <c r="E86" s="12" t="s">
        <v>28</v>
      </c>
      <c r="F86" s="12">
        <v>23.0</v>
      </c>
      <c r="G86" s="11" t="s">
        <v>61</v>
      </c>
      <c r="H86" s="12" t="s">
        <v>47</v>
      </c>
      <c r="I86" s="12" t="s">
        <v>27</v>
      </c>
      <c r="J86" s="12"/>
      <c r="K86" s="12">
        <v>6.0</v>
      </c>
      <c r="L86" s="12">
        <v>19.0</v>
      </c>
      <c r="M86" s="12">
        <v>13.0</v>
      </c>
      <c r="N86" s="12" t="s">
        <v>48</v>
      </c>
      <c r="O86" s="12">
        <f t="shared" si="11"/>
        <v>10</v>
      </c>
      <c r="P86" s="15"/>
      <c r="Q86" s="15"/>
      <c r="R86" s="14">
        <v>0.0</v>
      </c>
      <c r="S86" s="12">
        <v>5.0</v>
      </c>
      <c r="T86" s="12" t="s">
        <v>26</v>
      </c>
      <c r="U86" s="12" t="s">
        <v>178</v>
      </c>
      <c r="V86" s="12" t="s">
        <v>179</v>
      </c>
      <c r="W86" s="10">
        <v>10.0</v>
      </c>
      <c r="X86" s="10">
        <v>19.0</v>
      </c>
    </row>
    <row r="87">
      <c r="A87" s="11">
        <v>3.0</v>
      </c>
      <c r="B87" s="12" t="s">
        <v>28</v>
      </c>
      <c r="C87" s="12">
        <v>15.0</v>
      </c>
      <c r="D87" s="11" t="s">
        <v>51</v>
      </c>
      <c r="E87" s="12" t="s">
        <v>28</v>
      </c>
      <c r="F87" s="12">
        <v>4.0</v>
      </c>
      <c r="G87" s="11" t="s">
        <v>52</v>
      </c>
      <c r="H87" s="12" t="s">
        <v>53</v>
      </c>
      <c r="I87" s="12" t="s">
        <v>39</v>
      </c>
      <c r="J87" s="10">
        <v>10.0</v>
      </c>
      <c r="K87" s="12">
        <v>19.0</v>
      </c>
      <c r="L87" s="12">
        <v>30.0</v>
      </c>
      <c r="M87" s="12">
        <v>11.0</v>
      </c>
      <c r="N87" s="12" t="s">
        <v>48</v>
      </c>
      <c r="O87" s="12">
        <f t="shared" si="11"/>
        <v>10</v>
      </c>
      <c r="P87" s="14">
        <v>0.402766</v>
      </c>
      <c r="Q87" s="14">
        <v>1.297875</v>
      </c>
      <c r="R87" s="14">
        <v>0.895109</v>
      </c>
      <c r="S87" s="12">
        <v>0.0</v>
      </c>
      <c r="T87" s="12" t="s">
        <v>26</v>
      </c>
      <c r="U87" s="12" t="s">
        <v>103</v>
      </c>
      <c r="V87" s="12" t="str">
        <f>D87 &amp; H87 &amp; " completo para " &amp;G87 &amp; "para " &amp; M87 &amp; " yardas" </f>
        <v>Fernando Sarabia Pase completo para Víctor Palacios para 11 yardas</v>
      </c>
      <c r="W87" s="10">
        <v>10.0</v>
      </c>
      <c r="X87" s="10">
        <v>19.0</v>
      </c>
    </row>
    <row r="88">
      <c r="A88" s="11">
        <v>3.0</v>
      </c>
      <c r="B88" s="12" t="s">
        <v>28</v>
      </c>
      <c r="C88" s="12">
        <v>15.0</v>
      </c>
      <c r="D88" s="11" t="s">
        <v>51</v>
      </c>
      <c r="E88" s="12" t="s">
        <v>28</v>
      </c>
      <c r="F88" s="12">
        <v>23.0</v>
      </c>
      <c r="G88" s="11" t="s">
        <v>61</v>
      </c>
      <c r="H88" s="12" t="s">
        <v>38</v>
      </c>
      <c r="I88" s="12" t="s">
        <v>39</v>
      </c>
      <c r="J88" s="10">
        <v>10.0</v>
      </c>
      <c r="K88" s="12">
        <v>30.0</v>
      </c>
      <c r="L88" s="12">
        <v>34.0</v>
      </c>
      <c r="M88" s="12">
        <v>4.0</v>
      </c>
      <c r="N88" s="12" t="s">
        <v>54</v>
      </c>
      <c r="O88" s="12">
        <f t="shared" si="11"/>
        <v>6</v>
      </c>
      <c r="P88" s="14">
        <v>1.297875</v>
      </c>
      <c r="Q88" s="14">
        <v>1.252392</v>
      </c>
      <c r="R88" s="14">
        <v>-0.04548</v>
      </c>
      <c r="S88" s="12">
        <v>2.0</v>
      </c>
      <c r="T88" s="12" t="s">
        <v>26</v>
      </c>
      <c r="U88" s="12" t="s">
        <v>62</v>
      </c>
      <c r="V88" s="12" t="str">
        <f>G88 &amp; "para " &amp; M88 &amp; " yardas, " &amp; N88</f>
        <v>Alejandro Cruz para 4 yardas, 2do down</v>
      </c>
      <c r="W88" s="10">
        <v>10.0</v>
      </c>
      <c r="X88" s="10">
        <v>19.0</v>
      </c>
    </row>
    <row r="89">
      <c r="A89" s="11">
        <v>3.0</v>
      </c>
      <c r="B89" s="12" t="s">
        <v>28</v>
      </c>
      <c r="C89" s="12">
        <v>15.0</v>
      </c>
      <c r="D89" s="11" t="s">
        <v>51</v>
      </c>
      <c r="E89" s="12" t="s">
        <v>28</v>
      </c>
      <c r="F89" s="12">
        <v>81.0</v>
      </c>
      <c r="G89" s="11" t="s">
        <v>46</v>
      </c>
      <c r="H89" s="12" t="s">
        <v>117</v>
      </c>
      <c r="I89" s="12" t="s">
        <v>58</v>
      </c>
      <c r="J89" s="12">
        <f t="shared" ref="J89:J90" si="33">J88-M88</f>
        <v>6</v>
      </c>
      <c r="K89" s="12">
        <v>34.0</v>
      </c>
      <c r="L89" s="12">
        <v>34.0</v>
      </c>
      <c r="M89" s="12">
        <v>0.0</v>
      </c>
      <c r="N89" s="12" t="s">
        <v>64</v>
      </c>
      <c r="O89" s="12">
        <f t="shared" si="11"/>
        <v>6</v>
      </c>
      <c r="P89" s="14">
        <v>1.252392</v>
      </c>
      <c r="Q89" s="14">
        <v>0.437221</v>
      </c>
      <c r="R89" s="14">
        <v>-0.81517</v>
      </c>
      <c r="S89" s="12" t="s">
        <v>27</v>
      </c>
      <c r="T89" s="12" t="s">
        <v>27</v>
      </c>
      <c r="U89" s="12" t="s">
        <v>27</v>
      </c>
      <c r="V89" s="12" t="str">
        <f>D89 &amp; H89 &amp; " intencionado para " &amp; G89</f>
        <v>Fernando Sarabia Pase incompleto intencionado para Fernando Tonda</v>
      </c>
      <c r="W89" s="10">
        <v>10.0</v>
      </c>
      <c r="X89" s="10">
        <v>19.0</v>
      </c>
    </row>
    <row r="90">
      <c r="A90" s="11">
        <v>3.0</v>
      </c>
      <c r="B90" s="12" t="s">
        <v>28</v>
      </c>
      <c r="C90" s="12">
        <v>15.0</v>
      </c>
      <c r="D90" s="11" t="s">
        <v>51</v>
      </c>
      <c r="E90" s="12" t="s">
        <v>28</v>
      </c>
      <c r="F90" s="12">
        <v>17.0</v>
      </c>
      <c r="G90" s="12" t="s">
        <v>144</v>
      </c>
      <c r="H90" s="12" t="s">
        <v>53</v>
      </c>
      <c r="I90" s="12" t="s">
        <v>69</v>
      </c>
      <c r="J90" s="12">
        <f t="shared" si="33"/>
        <v>6</v>
      </c>
      <c r="K90" s="12">
        <v>34.0</v>
      </c>
      <c r="L90" s="12">
        <v>0.0</v>
      </c>
      <c r="M90" s="12">
        <v>66.0</v>
      </c>
      <c r="N90" s="12" t="s">
        <v>40</v>
      </c>
      <c r="O90" s="12" t="str">
        <f t="shared" si="11"/>
        <v/>
      </c>
      <c r="P90" s="14">
        <v>0.437221</v>
      </c>
      <c r="Q90" s="14">
        <v>7.0</v>
      </c>
      <c r="R90" s="14">
        <v>6.562779</v>
      </c>
      <c r="S90" s="12" t="s">
        <v>27</v>
      </c>
      <c r="T90" s="12" t="s">
        <v>27</v>
      </c>
      <c r="U90" s="12" t="s">
        <v>27</v>
      </c>
      <c r="V90" s="12" t="str">
        <f>D90 &amp; H90 &amp; " completo para " &amp;G90 &amp; "para " &amp; M90 &amp; " yardas" </f>
        <v>Fernando Sarabia Pase completo para Alejandro Elizondo Gonzálezpara 66 yardas</v>
      </c>
      <c r="W90" s="10">
        <v>16.0</v>
      </c>
      <c r="X90" s="10">
        <v>19.0</v>
      </c>
    </row>
    <row r="91">
      <c r="A91" s="11">
        <v>3.0</v>
      </c>
      <c r="B91" s="12" t="s">
        <v>28</v>
      </c>
      <c r="C91" s="12">
        <v>15.0</v>
      </c>
      <c r="D91" s="11" t="s">
        <v>51</v>
      </c>
      <c r="E91" s="12" t="s">
        <v>28</v>
      </c>
      <c r="F91" s="12">
        <v>28.0</v>
      </c>
      <c r="G91" s="11" t="s">
        <v>29</v>
      </c>
      <c r="H91" s="12" t="s">
        <v>43</v>
      </c>
      <c r="I91" s="12" t="s">
        <v>27</v>
      </c>
      <c r="J91" s="12"/>
      <c r="K91" s="12">
        <v>-10.0</v>
      </c>
      <c r="L91" s="12">
        <v>0.0</v>
      </c>
      <c r="M91" s="12">
        <v>20.0</v>
      </c>
      <c r="N91" s="12" t="s">
        <v>146</v>
      </c>
      <c r="O91" s="12" t="str">
        <f t="shared" si="11"/>
        <v/>
      </c>
      <c r="P91" s="15"/>
      <c r="Q91" s="15"/>
      <c r="R91" s="14">
        <v>0.0</v>
      </c>
      <c r="S91" s="12" t="s">
        <v>27</v>
      </c>
      <c r="T91" s="12" t="s">
        <v>27</v>
      </c>
      <c r="U91" s="12" t="s">
        <v>27</v>
      </c>
      <c r="V91" s="12" t="str">
        <f>G91 &amp; " " &amp; N91</f>
        <v>Roberto Medina PAT exitosa</v>
      </c>
      <c r="W91" s="10">
        <v>17.0</v>
      </c>
      <c r="X91" s="10">
        <v>19.0</v>
      </c>
    </row>
    <row r="92">
      <c r="A92" s="11">
        <v>3.0</v>
      </c>
      <c r="B92" s="12" t="s">
        <v>28</v>
      </c>
      <c r="C92" s="12" t="s">
        <v>27</v>
      </c>
      <c r="D92" s="12" t="s">
        <v>27</v>
      </c>
      <c r="E92" s="12" t="s">
        <v>28</v>
      </c>
      <c r="F92" s="12" t="s">
        <v>27</v>
      </c>
      <c r="G92" s="12" t="s">
        <v>27</v>
      </c>
      <c r="H92" s="12" t="s">
        <v>106</v>
      </c>
      <c r="I92" s="12" t="s">
        <v>27</v>
      </c>
      <c r="J92" s="12"/>
      <c r="K92" s="12">
        <v>35.0</v>
      </c>
      <c r="L92" s="12">
        <v>20.0</v>
      </c>
      <c r="M92" s="12">
        <v>-15.0</v>
      </c>
      <c r="N92" s="12" t="s">
        <v>184</v>
      </c>
      <c r="O92" s="12" t="str">
        <f t="shared" si="11"/>
        <v/>
      </c>
      <c r="P92" s="15"/>
      <c r="Q92" s="15"/>
      <c r="R92" s="14">
        <v>0.0</v>
      </c>
      <c r="S92" s="12" t="s">
        <v>27</v>
      </c>
      <c r="T92" s="12" t="s">
        <v>27</v>
      </c>
      <c r="U92" s="12" t="s">
        <v>27</v>
      </c>
      <c r="V92" s="12" t="str">
        <f>H92 &amp; ", " &amp; M92 &amp; " yardas"</f>
        <v>Castigo a la ofensiva, -15 yardas</v>
      </c>
      <c r="W92" s="10">
        <v>17.0</v>
      </c>
      <c r="X92" s="10">
        <v>19.0</v>
      </c>
    </row>
    <row r="93">
      <c r="A93" s="11">
        <v>3.0</v>
      </c>
      <c r="B93" s="12" t="s">
        <v>28</v>
      </c>
      <c r="C93" s="12" t="s">
        <v>27</v>
      </c>
      <c r="D93" s="12" t="s">
        <v>27</v>
      </c>
      <c r="E93" s="12" t="s">
        <v>28</v>
      </c>
      <c r="F93" s="12">
        <v>28.0</v>
      </c>
      <c r="G93" s="11" t="s">
        <v>29</v>
      </c>
      <c r="H93" s="12" t="s">
        <v>31</v>
      </c>
      <c r="I93" s="12" t="s">
        <v>27</v>
      </c>
      <c r="J93" s="12"/>
      <c r="K93" s="12">
        <v>20.0</v>
      </c>
      <c r="L93" s="12">
        <v>-16.0</v>
      </c>
      <c r="M93" s="12">
        <v>64.0</v>
      </c>
      <c r="N93" s="12" t="s">
        <v>167</v>
      </c>
      <c r="O93" s="12" t="str">
        <f t="shared" si="11"/>
        <v/>
      </c>
      <c r="P93" s="15"/>
      <c r="Q93" s="15"/>
      <c r="R93" s="14">
        <v>0.0</v>
      </c>
      <c r="S93" s="12" t="s">
        <v>27</v>
      </c>
      <c r="T93" s="12" t="s">
        <v>27</v>
      </c>
      <c r="U93" s="12" t="s">
        <v>27</v>
      </c>
      <c r="V93" s="12" t="str">
        <f>G93 &amp; " kicks off " &amp; M93 &amp; " yardas, " &amp; N93 &amp; " por " &amp; G94 &amp; " para " &amp; M94 &amp; " yardas"</f>
        <v>Roberto Medina kicks off 64 yardas, Regreso por Aldo Herrera  para 28 yardas</v>
      </c>
      <c r="W93" s="10">
        <v>17.0</v>
      </c>
      <c r="X93" s="10">
        <v>19.0</v>
      </c>
    </row>
    <row r="94">
      <c r="A94" s="11">
        <v>3.0</v>
      </c>
      <c r="B94" s="12" t="s">
        <v>26</v>
      </c>
      <c r="C94" s="12" t="s">
        <v>27</v>
      </c>
      <c r="D94" s="12" t="s">
        <v>27</v>
      </c>
      <c r="E94" s="12" t="s">
        <v>26</v>
      </c>
      <c r="F94" s="12">
        <v>3.0</v>
      </c>
      <c r="G94" s="11" t="s">
        <v>128</v>
      </c>
      <c r="H94" s="12" t="s">
        <v>47</v>
      </c>
      <c r="I94" s="12" t="s">
        <v>27</v>
      </c>
      <c r="J94" s="12"/>
      <c r="K94" s="12">
        <v>16.0</v>
      </c>
      <c r="L94" s="12">
        <v>44.0</v>
      </c>
      <c r="M94" s="12">
        <v>28.0</v>
      </c>
      <c r="N94" s="12" t="s">
        <v>48</v>
      </c>
      <c r="O94" s="12">
        <f t="shared" si="11"/>
        <v>10</v>
      </c>
      <c r="P94" s="13">
        <v>0.0</v>
      </c>
      <c r="Q94" s="14">
        <v>2.325935</v>
      </c>
      <c r="R94" s="14">
        <f>Q94-P94</f>
        <v>2.325935</v>
      </c>
      <c r="S94" s="12">
        <v>85.0</v>
      </c>
      <c r="T94" s="12" t="s">
        <v>28</v>
      </c>
      <c r="U94" s="12" t="s">
        <v>185</v>
      </c>
      <c r="V94" s="12" t="s">
        <v>186</v>
      </c>
      <c r="W94" s="10">
        <v>17.0</v>
      </c>
      <c r="X94" s="10">
        <v>19.0</v>
      </c>
    </row>
    <row r="95">
      <c r="A95" s="11">
        <v>3.0</v>
      </c>
      <c r="B95" s="12" t="s">
        <v>26</v>
      </c>
      <c r="C95" s="12">
        <v>10.0</v>
      </c>
      <c r="D95" s="11" t="s">
        <v>34</v>
      </c>
      <c r="E95" s="12" t="s">
        <v>26</v>
      </c>
      <c r="F95" s="12" t="s">
        <v>27</v>
      </c>
      <c r="G95" s="12" t="s">
        <v>27</v>
      </c>
      <c r="H95" s="12" t="s">
        <v>117</v>
      </c>
      <c r="I95" s="12" t="s">
        <v>39</v>
      </c>
      <c r="J95" s="10">
        <v>10.0</v>
      </c>
      <c r="K95" s="12">
        <v>44.0</v>
      </c>
      <c r="L95" s="12">
        <v>44.0</v>
      </c>
      <c r="M95" s="12">
        <v>0.0</v>
      </c>
      <c r="N95" s="12" t="s">
        <v>54</v>
      </c>
      <c r="O95" s="12">
        <f t="shared" si="11"/>
        <v>10</v>
      </c>
      <c r="P95" s="14">
        <v>2.325935</v>
      </c>
      <c r="Q95" s="14">
        <v>1.75737</v>
      </c>
      <c r="R95" s="14">
        <v>-0.56857</v>
      </c>
      <c r="S95" s="12" t="s">
        <v>27</v>
      </c>
      <c r="T95" s="12" t="s">
        <v>27</v>
      </c>
      <c r="U95" s="12" t="s">
        <v>27</v>
      </c>
      <c r="V95" s="12" t="str">
        <f>D95 &amp; H95</f>
        <v>Sergio Resendiz Pase incompleto</v>
      </c>
      <c r="W95" s="10">
        <v>17.0</v>
      </c>
      <c r="X95" s="10">
        <v>19.0</v>
      </c>
    </row>
    <row r="96">
      <c r="A96" s="11">
        <v>3.0</v>
      </c>
      <c r="B96" s="12" t="s">
        <v>26</v>
      </c>
      <c r="C96" s="12">
        <v>10.0</v>
      </c>
      <c r="D96" s="11" t="s">
        <v>34</v>
      </c>
      <c r="E96" s="12" t="s">
        <v>26</v>
      </c>
      <c r="F96" s="12">
        <v>31.0</v>
      </c>
      <c r="G96" s="11" t="s">
        <v>35</v>
      </c>
      <c r="H96" s="12" t="s">
        <v>38</v>
      </c>
      <c r="I96" s="12" t="s">
        <v>58</v>
      </c>
      <c r="J96" s="12">
        <f t="shared" ref="J96:J97" si="34">J95-M95</f>
        <v>10</v>
      </c>
      <c r="K96" s="12">
        <v>44.0</v>
      </c>
      <c r="L96" s="12">
        <v>48.0</v>
      </c>
      <c r="M96" s="12">
        <v>4.0</v>
      </c>
      <c r="N96" s="12" t="s">
        <v>64</v>
      </c>
      <c r="O96" s="12">
        <f t="shared" si="11"/>
        <v>6</v>
      </c>
      <c r="P96" s="14">
        <v>1.75737</v>
      </c>
      <c r="Q96" s="14">
        <v>1.533445</v>
      </c>
      <c r="R96" s="14">
        <v>-0.22393</v>
      </c>
      <c r="S96" s="12">
        <v>55.0</v>
      </c>
      <c r="T96" s="12" t="s">
        <v>28</v>
      </c>
      <c r="U96" s="12" t="s">
        <v>78</v>
      </c>
      <c r="V96" s="12" t="str">
        <f>G96 &amp; "para " &amp; M96 &amp; " yardas, " &amp; N96</f>
        <v>Ángel Alvarado para 4 yardas, 3er down</v>
      </c>
      <c r="W96" s="10">
        <v>17.0</v>
      </c>
      <c r="X96" s="10">
        <v>19.0</v>
      </c>
    </row>
    <row r="97">
      <c r="A97" s="11">
        <v>3.0</v>
      </c>
      <c r="B97" s="12" t="s">
        <v>26</v>
      </c>
      <c r="C97" s="12" t="s">
        <v>27</v>
      </c>
      <c r="D97" s="12" t="s">
        <v>27</v>
      </c>
      <c r="E97" s="12" t="s">
        <v>28</v>
      </c>
      <c r="F97" s="12" t="s">
        <v>27</v>
      </c>
      <c r="G97" s="12" t="s">
        <v>27</v>
      </c>
      <c r="H97" s="12" t="s">
        <v>161</v>
      </c>
      <c r="I97" s="12" t="s">
        <v>69</v>
      </c>
      <c r="J97" s="12">
        <f t="shared" si="34"/>
        <v>6</v>
      </c>
      <c r="K97" s="12">
        <v>48.0</v>
      </c>
      <c r="L97" s="12">
        <v>-48.0</v>
      </c>
      <c r="M97" s="12">
        <v>4.0</v>
      </c>
      <c r="N97" s="12" t="s">
        <v>48</v>
      </c>
      <c r="O97" s="12">
        <f t="shared" si="11"/>
        <v>10</v>
      </c>
      <c r="P97" s="14">
        <v>1.533445</v>
      </c>
      <c r="Q97" s="14">
        <v>2.81553</v>
      </c>
      <c r="R97" s="14">
        <v>1.282085</v>
      </c>
      <c r="S97" s="12" t="s">
        <v>27</v>
      </c>
      <c r="T97" s="12" t="s">
        <v>27</v>
      </c>
      <c r="U97" s="12" t="s">
        <v>27</v>
      </c>
      <c r="V97" s="12" t="str">
        <f>H97 &amp; ", " &amp; M97 &amp; " yardas"</f>
        <v>Castigo a la defensiva, 4 yardas</v>
      </c>
      <c r="W97" s="10">
        <v>17.0</v>
      </c>
      <c r="X97" s="10">
        <v>19.0</v>
      </c>
    </row>
    <row r="98">
      <c r="A98" s="11">
        <v>3.0</v>
      </c>
      <c r="B98" s="12" t="s">
        <v>26</v>
      </c>
      <c r="C98" s="12">
        <v>10.0</v>
      </c>
      <c r="D98" s="11" t="s">
        <v>34</v>
      </c>
      <c r="E98" s="12" t="s">
        <v>26</v>
      </c>
      <c r="F98" s="12">
        <v>21.0</v>
      </c>
      <c r="G98" s="12" t="s">
        <v>77</v>
      </c>
      <c r="H98" s="12" t="s">
        <v>38</v>
      </c>
      <c r="I98" s="12" t="s">
        <v>39</v>
      </c>
      <c r="J98" s="10">
        <v>10.0</v>
      </c>
      <c r="K98" s="12">
        <v>-48.0</v>
      </c>
      <c r="L98" s="12">
        <v>-45.0</v>
      </c>
      <c r="M98" s="12">
        <v>3.0</v>
      </c>
      <c r="N98" s="12" t="s">
        <v>54</v>
      </c>
      <c r="O98" s="12">
        <f t="shared" si="11"/>
        <v>7</v>
      </c>
      <c r="P98" s="14">
        <v>2.81553</v>
      </c>
      <c r="Q98" s="14">
        <v>2.680391</v>
      </c>
      <c r="R98" s="14">
        <v>-0.13514</v>
      </c>
      <c r="S98" s="12">
        <v>9.0</v>
      </c>
      <c r="T98" s="12" t="s">
        <v>28</v>
      </c>
      <c r="U98" s="12" t="s">
        <v>190</v>
      </c>
      <c r="V98" s="12" t="str">
        <f t="shared" ref="V98:V101" si="35">G98 &amp; "para " &amp; M98 &amp; " yardas, " &amp; N98</f>
        <v>Eduardo Martínez Alvaradopara 3 yardas, 2do down</v>
      </c>
      <c r="W98" s="10">
        <v>17.0</v>
      </c>
      <c r="X98" s="10">
        <v>19.0</v>
      </c>
    </row>
    <row r="99">
      <c r="A99" s="11">
        <v>3.0</v>
      </c>
      <c r="B99" s="12" t="s">
        <v>26</v>
      </c>
      <c r="C99" s="12">
        <v>10.0</v>
      </c>
      <c r="D99" s="11" t="s">
        <v>34</v>
      </c>
      <c r="E99" s="12" t="s">
        <v>26</v>
      </c>
      <c r="F99" s="12">
        <v>21.0</v>
      </c>
      <c r="G99" s="12" t="s">
        <v>77</v>
      </c>
      <c r="H99" s="12" t="s">
        <v>38</v>
      </c>
      <c r="I99" s="12" t="s">
        <v>58</v>
      </c>
      <c r="J99" s="12">
        <f t="shared" ref="J99:J101" si="36">J98-M98</f>
        <v>7</v>
      </c>
      <c r="K99" s="12">
        <v>-45.0</v>
      </c>
      <c r="L99" s="12">
        <v>-41.0</v>
      </c>
      <c r="M99" s="12">
        <v>4.0</v>
      </c>
      <c r="N99" s="12" t="s">
        <v>64</v>
      </c>
      <c r="O99" s="12">
        <f t="shared" si="11"/>
        <v>3</v>
      </c>
      <c r="P99" s="14">
        <v>2.680391</v>
      </c>
      <c r="Q99" s="14">
        <v>2.56439</v>
      </c>
      <c r="R99" s="14">
        <v>-0.116</v>
      </c>
      <c r="S99" s="12">
        <v>2.0</v>
      </c>
      <c r="T99" s="12" t="s">
        <v>28</v>
      </c>
      <c r="U99" s="12" t="s">
        <v>86</v>
      </c>
      <c r="V99" s="12" t="str">
        <f t="shared" si="35"/>
        <v>Eduardo Martínez Alvaradopara 4 yardas, 3er down</v>
      </c>
      <c r="W99" s="10">
        <v>17.0</v>
      </c>
      <c r="X99" s="10">
        <v>19.0</v>
      </c>
    </row>
    <row r="100">
      <c r="A100" s="11">
        <v>3.0</v>
      </c>
      <c r="B100" s="12" t="s">
        <v>26</v>
      </c>
      <c r="C100" s="12">
        <v>10.0</v>
      </c>
      <c r="D100" s="11" t="s">
        <v>34</v>
      </c>
      <c r="E100" s="12" t="s">
        <v>26</v>
      </c>
      <c r="F100" s="12">
        <v>10.0</v>
      </c>
      <c r="G100" s="11" t="s">
        <v>34</v>
      </c>
      <c r="H100" s="12" t="s">
        <v>38</v>
      </c>
      <c r="I100" s="12" t="s">
        <v>69</v>
      </c>
      <c r="J100" s="12">
        <f t="shared" si="36"/>
        <v>3</v>
      </c>
      <c r="K100" s="12">
        <v>-41.0</v>
      </c>
      <c r="L100" s="12">
        <v>-40.0</v>
      </c>
      <c r="M100" s="12">
        <v>1.0</v>
      </c>
      <c r="N100" s="12" t="s">
        <v>70</v>
      </c>
      <c r="O100" s="12">
        <f t="shared" si="11"/>
        <v>2</v>
      </c>
      <c r="P100" s="14">
        <v>2.56439</v>
      </c>
      <c r="Q100" s="14">
        <v>1.122841</v>
      </c>
      <c r="R100" s="14">
        <v>-1.44155</v>
      </c>
      <c r="S100" s="12">
        <v>55.0</v>
      </c>
      <c r="T100" s="12" t="s">
        <v>28</v>
      </c>
      <c r="U100" s="12" t="s">
        <v>78</v>
      </c>
      <c r="V100" s="12" t="str">
        <f t="shared" si="35"/>
        <v>Sergio Resendiz para 1 yardas, 4to down</v>
      </c>
      <c r="W100" s="10">
        <v>17.0</v>
      </c>
      <c r="X100" s="10">
        <v>19.0</v>
      </c>
    </row>
    <row r="101">
      <c r="A101" s="11">
        <v>3.0</v>
      </c>
      <c r="B101" s="12" t="s">
        <v>26</v>
      </c>
      <c r="C101" s="12">
        <v>10.0</v>
      </c>
      <c r="D101" s="11" t="s">
        <v>34</v>
      </c>
      <c r="E101" s="12" t="s">
        <v>26</v>
      </c>
      <c r="F101" s="12">
        <v>31.0</v>
      </c>
      <c r="G101" s="11" t="s">
        <v>35</v>
      </c>
      <c r="H101" s="12" t="s">
        <v>38</v>
      </c>
      <c r="I101" s="12" t="s">
        <v>74</v>
      </c>
      <c r="J101" s="12">
        <f t="shared" si="36"/>
        <v>2</v>
      </c>
      <c r="K101" s="12">
        <v>-40.0</v>
      </c>
      <c r="L101" s="12">
        <v>-40.0</v>
      </c>
      <c r="M101" s="12">
        <v>0.0</v>
      </c>
      <c r="N101" s="12" t="s">
        <v>194</v>
      </c>
      <c r="O101" s="12">
        <f t="shared" si="11"/>
        <v>10</v>
      </c>
      <c r="P101" s="14">
        <v>1.122841</v>
      </c>
      <c r="Q101" s="13">
        <v>-2.05</v>
      </c>
      <c r="R101" s="14">
        <f>Q101-P101</f>
        <v>-3.172841</v>
      </c>
      <c r="S101" s="12">
        <v>72.0</v>
      </c>
      <c r="T101" s="12" t="s">
        <v>28</v>
      </c>
      <c r="U101" s="12" t="s">
        <v>83</v>
      </c>
      <c r="V101" s="12" t="str">
        <f t="shared" si="35"/>
        <v>Ángel Alvarado para 0 yardas, Cambio posesión</v>
      </c>
      <c r="W101" s="10">
        <v>17.0</v>
      </c>
      <c r="X101" s="10">
        <v>19.0</v>
      </c>
    </row>
    <row r="102">
      <c r="A102" s="11">
        <v>3.0</v>
      </c>
      <c r="B102" s="12" t="s">
        <v>28</v>
      </c>
      <c r="C102" s="12">
        <v>15.0</v>
      </c>
      <c r="D102" s="11" t="s">
        <v>51</v>
      </c>
      <c r="E102" s="12" t="s">
        <v>28</v>
      </c>
      <c r="F102" s="12">
        <v>17.0</v>
      </c>
      <c r="G102" s="12" t="s">
        <v>144</v>
      </c>
      <c r="H102" s="12" t="s">
        <v>117</v>
      </c>
      <c r="I102" s="12" t="s">
        <v>39</v>
      </c>
      <c r="J102" s="10">
        <v>10.0</v>
      </c>
      <c r="K102" s="12">
        <v>40.0</v>
      </c>
      <c r="L102" s="12">
        <v>40.0</v>
      </c>
      <c r="M102" s="12">
        <v>0.0</v>
      </c>
      <c r="N102" s="12" t="s">
        <v>54</v>
      </c>
      <c r="O102" s="12">
        <f t="shared" si="11"/>
        <v>10</v>
      </c>
      <c r="P102" s="14">
        <v>2.051391</v>
      </c>
      <c r="Q102" s="14">
        <v>1.459293</v>
      </c>
      <c r="R102" s="14">
        <v>-0.5921</v>
      </c>
      <c r="S102" s="12" t="s">
        <v>27</v>
      </c>
      <c r="T102" s="12" t="s">
        <v>27</v>
      </c>
      <c r="U102" s="12" t="s">
        <v>27</v>
      </c>
      <c r="V102" s="12" t="str">
        <f>D102 &amp; H102 &amp; " intencionado para " &amp; G102</f>
        <v>Fernando Sarabia Pase incompleto intencionado para Alejandro Elizondo González</v>
      </c>
      <c r="W102" s="10">
        <v>17.0</v>
      </c>
      <c r="X102" s="10">
        <v>19.0</v>
      </c>
    </row>
    <row r="103">
      <c r="A103" s="11">
        <v>3.0</v>
      </c>
      <c r="B103" s="12" t="s">
        <v>28</v>
      </c>
      <c r="C103" s="12">
        <v>15.0</v>
      </c>
      <c r="D103" s="11" t="s">
        <v>51</v>
      </c>
      <c r="E103" s="12" t="s">
        <v>28</v>
      </c>
      <c r="F103" s="12">
        <v>23.0</v>
      </c>
      <c r="G103" s="11" t="s">
        <v>61</v>
      </c>
      <c r="H103" s="12" t="s">
        <v>38</v>
      </c>
      <c r="I103" s="12" t="s">
        <v>58</v>
      </c>
      <c r="J103" s="12">
        <f t="shared" ref="J103:J105" si="37">J102-M102</f>
        <v>10</v>
      </c>
      <c r="K103" s="12">
        <v>40.0</v>
      </c>
      <c r="L103" s="12">
        <v>44.0</v>
      </c>
      <c r="M103" s="12">
        <v>4.0</v>
      </c>
      <c r="N103" s="12" t="s">
        <v>64</v>
      </c>
      <c r="O103" s="12">
        <f t="shared" si="11"/>
        <v>6</v>
      </c>
      <c r="P103" s="14">
        <v>1.459293</v>
      </c>
      <c r="Q103" s="14">
        <v>1.236568</v>
      </c>
      <c r="R103" s="14">
        <v>-0.22273</v>
      </c>
      <c r="S103" s="12">
        <v>2.0</v>
      </c>
      <c r="T103" s="12" t="s">
        <v>26</v>
      </c>
      <c r="U103" s="12" t="s">
        <v>62</v>
      </c>
      <c r="V103" s="12" t="str">
        <f>G103 &amp; "para " &amp; M103 &amp; " yardas, " &amp; N103</f>
        <v>Alejandro Cruz para 4 yardas, 3er down</v>
      </c>
      <c r="W103" s="10">
        <v>17.0</v>
      </c>
      <c r="X103" s="10">
        <v>19.0</v>
      </c>
    </row>
    <row r="104">
      <c r="A104" s="11">
        <v>3.0</v>
      </c>
      <c r="B104" s="12" t="s">
        <v>28</v>
      </c>
      <c r="C104" s="12">
        <v>15.0</v>
      </c>
      <c r="D104" s="11" t="s">
        <v>51</v>
      </c>
      <c r="E104" s="12" t="s">
        <v>28</v>
      </c>
      <c r="F104" s="12">
        <v>82.0</v>
      </c>
      <c r="G104" s="11" t="s">
        <v>102</v>
      </c>
      <c r="H104" s="12" t="s">
        <v>117</v>
      </c>
      <c r="I104" s="12" t="s">
        <v>69</v>
      </c>
      <c r="J104" s="12">
        <f t="shared" si="37"/>
        <v>6</v>
      </c>
      <c r="K104" s="12">
        <v>44.0</v>
      </c>
      <c r="L104" s="12">
        <v>44.0</v>
      </c>
      <c r="M104" s="12">
        <v>0.0</v>
      </c>
      <c r="N104" s="12" t="s">
        <v>70</v>
      </c>
      <c r="O104" s="12">
        <f t="shared" si="11"/>
        <v>6</v>
      </c>
      <c r="P104" s="14">
        <v>1.236568</v>
      </c>
      <c r="Q104" s="14">
        <v>-0.22943</v>
      </c>
      <c r="R104" s="14">
        <v>-1.466</v>
      </c>
      <c r="S104" s="12" t="s">
        <v>27</v>
      </c>
      <c r="T104" s="12" t="s">
        <v>27</v>
      </c>
      <c r="U104" s="12" t="s">
        <v>27</v>
      </c>
      <c r="V104" s="12" t="str">
        <f>D104 &amp; H104 &amp; " intencionado para " &amp; G104</f>
        <v>Fernando Sarabia Pase incompleto intencionado para Mauricio Santos </v>
      </c>
      <c r="W104" s="10">
        <v>17.0</v>
      </c>
      <c r="X104" s="10">
        <v>19.0</v>
      </c>
    </row>
    <row r="105">
      <c r="A105" s="11">
        <v>3.0</v>
      </c>
      <c r="B105" s="12" t="s">
        <v>28</v>
      </c>
      <c r="C105" s="12" t="s">
        <v>27</v>
      </c>
      <c r="D105" s="12" t="s">
        <v>27</v>
      </c>
      <c r="E105" s="12" t="s">
        <v>28</v>
      </c>
      <c r="F105" s="12">
        <v>87.0</v>
      </c>
      <c r="G105" s="11" t="s">
        <v>199</v>
      </c>
      <c r="H105" s="12" t="s">
        <v>73</v>
      </c>
      <c r="I105" s="12" t="s">
        <v>74</v>
      </c>
      <c r="J105" s="12">
        <f t="shared" si="37"/>
        <v>6</v>
      </c>
      <c r="K105" s="12">
        <v>34.0</v>
      </c>
      <c r="L105" s="12">
        <v>-14.0</v>
      </c>
      <c r="M105" s="12">
        <v>52.0</v>
      </c>
      <c r="N105" s="12" t="s">
        <v>167</v>
      </c>
      <c r="O105" s="12" t="str">
        <f t="shared" si="11"/>
        <v/>
      </c>
      <c r="P105" s="14">
        <v>-0.22943</v>
      </c>
      <c r="Q105" s="14">
        <v>-2.387414</v>
      </c>
      <c r="R105" s="14">
        <f>Q105-P105</f>
        <v>-2.157984</v>
      </c>
      <c r="S105" s="12" t="s">
        <v>27</v>
      </c>
      <c r="T105" s="12" t="s">
        <v>27</v>
      </c>
      <c r="U105" s="12" t="s">
        <v>27</v>
      </c>
      <c r="V105" s="12" t="str">
        <f>G105 &amp; H105 &amp; " " &amp; M105 &amp; " yardas, " &amp; N105 &amp; " de " &amp; G106 &amp; " para " &amp; M106 &amp; " yardas"</f>
        <v>Mauricio Fernández Salazar Punt 52 yardas, Regreso de Aldo Herrera  para 31 yardas</v>
      </c>
      <c r="W105" s="10">
        <v>17.0</v>
      </c>
      <c r="X105" s="10">
        <v>19.0</v>
      </c>
    </row>
    <row r="106">
      <c r="A106" s="10">
        <v>3.0</v>
      </c>
      <c r="B106" s="12" t="s">
        <v>26</v>
      </c>
      <c r="C106" s="12" t="s">
        <v>27</v>
      </c>
      <c r="D106" s="12" t="s">
        <v>27</v>
      </c>
      <c r="E106" s="12" t="s">
        <v>26</v>
      </c>
      <c r="F106" s="12">
        <v>3.0</v>
      </c>
      <c r="G106" s="11" t="s">
        <v>128</v>
      </c>
      <c r="H106" s="12" t="s">
        <v>129</v>
      </c>
      <c r="I106" s="12" t="s">
        <v>27</v>
      </c>
      <c r="J106" s="12"/>
      <c r="K106" s="12">
        <v>14.0</v>
      </c>
      <c r="L106" s="12">
        <v>45.0</v>
      </c>
      <c r="M106" s="12">
        <v>31.0</v>
      </c>
      <c r="N106" s="12" t="s">
        <v>48</v>
      </c>
      <c r="O106" s="12">
        <f t="shared" si="11"/>
        <v>10</v>
      </c>
      <c r="P106" s="15"/>
      <c r="Q106" s="15"/>
      <c r="R106" s="14">
        <v>0.0</v>
      </c>
      <c r="S106" s="12">
        <v>26.0</v>
      </c>
      <c r="T106" s="12" t="s">
        <v>28</v>
      </c>
      <c r="U106" s="12" t="s">
        <v>27</v>
      </c>
      <c r="V106" s="12" t="s">
        <v>200</v>
      </c>
      <c r="W106" s="10">
        <v>17.0</v>
      </c>
      <c r="X106" s="10">
        <v>19.0</v>
      </c>
    </row>
    <row r="107">
      <c r="A107" s="11">
        <v>3.0</v>
      </c>
      <c r="B107" s="12" t="s">
        <v>26</v>
      </c>
      <c r="C107" s="12" t="s">
        <v>27</v>
      </c>
      <c r="D107" s="12" t="s">
        <v>27</v>
      </c>
      <c r="E107" s="12" t="s">
        <v>28</v>
      </c>
      <c r="F107" s="12" t="s">
        <v>27</v>
      </c>
      <c r="G107" s="12" t="s">
        <v>27</v>
      </c>
      <c r="H107" s="12" t="s">
        <v>161</v>
      </c>
      <c r="I107" s="12" t="s">
        <v>39</v>
      </c>
      <c r="J107" s="10">
        <v>10.0</v>
      </c>
      <c r="K107" s="12">
        <v>45.0</v>
      </c>
      <c r="L107" s="12">
        <v>-40.0</v>
      </c>
      <c r="M107" s="12">
        <v>15.0</v>
      </c>
      <c r="N107" s="12" t="s">
        <v>48</v>
      </c>
      <c r="O107" s="12">
        <f t="shared" si="11"/>
        <v>10</v>
      </c>
      <c r="P107" s="14">
        <v>2.387414</v>
      </c>
      <c r="Q107" s="14">
        <v>3.266093</v>
      </c>
      <c r="R107" s="14">
        <v>0.878679</v>
      </c>
      <c r="S107" s="12" t="s">
        <v>27</v>
      </c>
      <c r="T107" s="12" t="s">
        <v>27</v>
      </c>
      <c r="U107" s="12" t="s">
        <v>27</v>
      </c>
      <c r="V107" s="12" t="str">
        <f t="shared" ref="V107:V108" si="38">H107 &amp; ", " &amp; M107 &amp; " yardas"</f>
        <v>Castigo a la defensiva, 15 yardas</v>
      </c>
      <c r="W107" s="10">
        <v>17.0</v>
      </c>
      <c r="X107" s="10">
        <v>19.0</v>
      </c>
    </row>
    <row r="108">
      <c r="A108" s="11">
        <v>3.0</v>
      </c>
      <c r="B108" s="12" t="s">
        <v>26</v>
      </c>
      <c r="C108" s="12" t="s">
        <v>27</v>
      </c>
      <c r="D108" s="12" t="s">
        <v>27</v>
      </c>
      <c r="E108" s="12" t="s">
        <v>26</v>
      </c>
      <c r="F108" s="12" t="s">
        <v>27</v>
      </c>
      <c r="G108" s="12" t="s">
        <v>27</v>
      </c>
      <c r="H108" s="12" t="s">
        <v>106</v>
      </c>
      <c r="I108" s="12" t="s">
        <v>39</v>
      </c>
      <c r="J108" s="10">
        <v>10.0</v>
      </c>
      <c r="K108" s="12">
        <v>-40.0</v>
      </c>
      <c r="L108" s="12">
        <v>50.0</v>
      </c>
      <c r="M108" s="12">
        <v>-10.0</v>
      </c>
      <c r="N108" s="12" t="s">
        <v>48</v>
      </c>
      <c r="O108" s="12">
        <f t="shared" si="11"/>
        <v>20</v>
      </c>
      <c r="P108" s="14">
        <v>3.266093</v>
      </c>
      <c r="Q108" s="14">
        <v>2.505376</v>
      </c>
      <c r="R108" s="14">
        <v>-0.76072</v>
      </c>
      <c r="S108" s="12" t="s">
        <v>27</v>
      </c>
      <c r="T108" s="12" t="s">
        <v>27</v>
      </c>
      <c r="U108" s="12" t="s">
        <v>27</v>
      </c>
      <c r="V108" s="12" t="str">
        <f t="shared" si="38"/>
        <v>Castigo a la ofensiva, -10 yardas</v>
      </c>
      <c r="W108" s="10">
        <v>17.0</v>
      </c>
      <c r="X108" s="10">
        <v>19.0</v>
      </c>
    </row>
    <row r="109">
      <c r="A109" s="11">
        <v>3.0</v>
      </c>
      <c r="B109" s="12" t="s">
        <v>26</v>
      </c>
      <c r="C109" s="12">
        <v>10.0</v>
      </c>
      <c r="D109" s="11" t="s">
        <v>34</v>
      </c>
      <c r="E109" s="12" t="s">
        <v>26</v>
      </c>
      <c r="F109" s="12">
        <v>10.0</v>
      </c>
      <c r="G109" s="11" t="s">
        <v>34</v>
      </c>
      <c r="H109" s="12" t="s">
        <v>38</v>
      </c>
      <c r="I109" s="12" t="s">
        <v>39</v>
      </c>
      <c r="J109" s="10">
        <v>20.0</v>
      </c>
      <c r="K109" s="12">
        <v>50.0</v>
      </c>
      <c r="L109" s="12">
        <v>-36.0</v>
      </c>
      <c r="M109" s="12">
        <v>14.0</v>
      </c>
      <c r="N109" s="12" t="s">
        <v>54</v>
      </c>
      <c r="O109" s="12">
        <f t="shared" si="11"/>
        <v>6</v>
      </c>
      <c r="P109" s="14">
        <v>2.505376</v>
      </c>
      <c r="Q109" s="14">
        <v>3.204855</v>
      </c>
      <c r="R109" s="14">
        <v>0.69948</v>
      </c>
      <c r="S109" s="12" t="s">
        <v>27</v>
      </c>
      <c r="T109" s="12" t="s">
        <v>27</v>
      </c>
      <c r="U109" s="12" t="s">
        <v>27</v>
      </c>
      <c r="V109" s="12" t="str">
        <f>G109 &amp; "para " &amp; M109 &amp; " yardas, " &amp; N109</f>
        <v>Sergio Resendiz para 14 yardas, 2do down</v>
      </c>
      <c r="W109" s="10">
        <v>17.0</v>
      </c>
      <c r="X109" s="10">
        <v>19.0</v>
      </c>
    </row>
    <row r="110">
      <c r="A110" s="11">
        <v>3.0</v>
      </c>
      <c r="B110" s="12" t="s">
        <v>26</v>
      </c>
      <c r="C110" s="12">
        <v>10.0</v>
      </c>
      <c r="D110" s="11" t="s">
        <v>34</v>
      </c>
      <c r="E110" s="12" t="s">
        <v>26</v>
      </c>
      <c r="F110" s="12">
        <v>3.0</v>
      </c>
      <c r="G110" s="11" t="s">
        <v>128</v>
      </c>
      <c r="H110" s="12" t="s">
        <v>117</v>
      </c>
      <c r="I110" s="12" t="s">
        <v>58</v>
      </c>
      <c r="J110" s="12">
        <f t="shared" ref="J110:J111" si="39">J109-M109</f>
        <v>6</v>
      </c>
      <c r="K110" s="12">
        <v>-36.0</v>
      </c>
      <c r="L110" s="12">
        <v>-36.0</v>
      </c>
      <c r="M110" s="12">
        <v>0.0</v>
      </c>
      <c r="N110" s="12" t="s">
        <v>64</v>
      </c>
      <c r="O110" s="12">
        <f t="shared" si="11"/>
        <v>6</v>
      </c>
      <c r="P110" s="14">
        <v>3.204855</v>
      </c>
      <c r="Q110" s="14">
        <v>2.552942</v>
      </c>
      <c r="R110" s="14">
        <v>-0.65191</v>
      </c>
      <c r="S110" s="12" t="s">
        <v>27</v>
      </c>
      <c r="T110" s="12" t="s">
        <v>27</v>
      </c>
      <c r="U110" s="12" t="s">
        <v>27</v>
      </c>
      <c r="V110" s="12" t="str">
        <f>D110 &amp; H110 &amp; " intencionado para " &amp; G110</f>
        <v>Sergio Resendiz Pase incompleto intencionado para Aldo Herrera </v>
      </c>
      <c r="W110" s="10">
        <v>17.0</v>
      </c>
      <c r="X110" s="10">
        <v>19.0</v>
      </c>
    </row>
    <row r="111">
      <c r="A111" s="11">
        <v>3.0</v>
      </c>
      <c r="B111" s="12" t="s">
        <v>26</v>
      </c>
      <c r="C111" s="12">
        <v>10.0</v>
      </c>
      <c r="D111" s="11" t="s">
        <v>34</v>
      </c>
      <c r="E111" s="12" t="s">
        <v>26</v>
      </c>
      <c r="F111" s="12">
        <v>10.0</v>
      </c>
      <c r="G111" s="11" t="s">
        <v>34</v>
      </c>
      <c r="H111" s="12" t="s">
        <v>38</v>
      </c>
      <c r="I111" s="12" t="s">
        <v>69</v>
      </c>
      <c r="J111" s="12">
        <f t="shared" si="39"/>
        <v>6</v>
      </c>
      <c r="K111" s="12">
        <v>-36.0</v>
      </c>
      <c r="L111" s="12">
        <v>-28.0</v>
      </c>
      <c r="M111" s="12">
        <v>8.0</v>
      </c>
      <c r="N111" s="12" t="s">
        <v>48</v>
      </c>
      <c r="O111" s="12">
        <f t="shared" si="11"/>
        <v>10</v>
      </c>
      <c r="P111" s="14">
        <v>2.552942</v>
      </c>
      <c r="Q111" s="14">
        <v>3.792443</v>
      </c>
      <c r="R111" s="14">
        <v>1.239502</v>
      </c>
      <c r="S111" s="12">
        <v>10.0</v>
      </c>
      <c r="T111" s="12" t="s">
        <v>28</v>
      </c>
      <c r="U111" s="12" t="s">
        <v>114</v>
      </c>
      <c r="V111" s="12" t="str">
        <f t="shared" ref="V111:V115" si="40">G111 &amp; "para " &amp; M111 &amp; " yardas, " &amp; N111</f>
        <v>Sergio Resendiz para 8 yardas, 1er down</v>
      </c>
      <c r="W111" s="10">
        <v>17.0</v>
      </c>
      <c r="X111" s="10">
        <v>19.0</v>
      </c>
    </row>
    <row r="112">
      <c r="A112" s="11">
        <v>3.0</v>
      </c>
      <c r="B112" s="12" t="s">
        <v>26</v>
      </c>
      <c r="C112" s="12">
        <v>10.0</v>
      </c>
      <c r="D112" s="11" t="s">
        <v>34</v>
      </c>
      <c r="E112" s="12" t="s">
        <v>26</v>
      </c>
      <c r="F112" s="12">
        <v>31.0</v>
      </c>
      <c r="G112" s="11" t="s">
        <v>35</v>
      </c>
      <c r="H112" s="12" t="s">
        <v>38</v>
      </c>
      <c r="I112" s="12" t="s">
        <v>39</v>
      </c>
      <c r="J112" s="10">
        <v>10.0</v>
      </c>
      <c r="K112" s="12">
        <v>-28.0</v>
      </c>
      <c r="L112" s="12">
        <v>-26.0</v>
      </c>
      <c r="M112" s="12">
        <v>2.0</v>
      </c>
      <c r="N112" s="12" t="s">
        <v>54</v>
      </c>
      <c r="O112" s="12">
        <f t="shared" si="11"/>
        <v>8</v>
      </c>
      <c r="P112" s="14">
        <v>3.792443</v>
      </c>
      <c r="Q112" s="14">
        <v>3.595042</v>
      </c>
      <c r="R112" s="14">
        <v>-0.1974</v>
      </c>
      <c r="S112" s="12">
        <v>2.0</v>
      </c>
      <c r="T112" s="12" t="s">
        <v>28</v>
      </c>
      <c r="U112" s="12" t="s">
        <v>86</v>
      </c>
      <c r="V112" s="12" t="str">
        <f t="shared" si="40"/>
        <v>Ángel Alvarado para 2 yardas, 2do down</v>
      </c>
      <c r="W112" s="10">
        <v>17.0</v>
      </c>
      <c r="X112" s="10">
        <v>19.0</v>
      </c>
    </row>
    <row r="113">
      <c r="A113" s="11">
        <v>3.0</v>
      </c>
      <c r="B113" s="12" t="s">
        <v>26</v>
      </c>
      <c r="C113" s="12">
        <v>10.0</v>
      </c>
      <c r="D113" s="11" t="s">
        <v>34</v>
      </c>
      <c r="E113" s="12" t="s">
        <v>26</v>
      </c>
      <c r="F113" s="12">
        <v>31.0</v>
      </c>
      <c r="G113" s="11" t="s">
        <v>35</v>
      </c>
      <c r="H113" s="12" t="s">
        <v>38</v>
      </c>
      <c r="I113" s="12" t="s">
        <v>58</v>
      </c>
      <c r="J113" s="12">
        <f t="shared" ref="J113:J114" si="41">J112-M112</f>
        <v>8</v>
      </c>
      <c r="K113" s="12">
        <v>-26.0</v>
      </c>
      <c r="L113" s="12">
        <v>-19.0</v>
      </c>
      <c r="M113" s="12">
        <v>7.0</v>
      </c>
      <c r="N113" s="12" t="s">
        <v>64</v>
      </c>
      <c r="O113" s="12">
        <f t="shared" si="11"/>
        <v>1</v>
      </c>
      <c r="P113" s="14">
        <v>3.595042</v>
      </c>
      <c r="Q113" s="14">
        <v>3.825662</v>
      </c>
      <c r="R113" s="14">
        <v>0.23062</v>
      </c>
      <c r="S113" s="12">
        <v>5.0</v>
      </c>
      <c r="T113" s="12" t="s">
        <v>28</v>
      </c>
      <c r="U113" s="12" t="s">
        <v>204</v>
      </c>
      <c r="V113" s="12" t="str">
        <f t="shared" si="40"/>
        <v>Ángel Alvarado para 7 yardas, 3er down</v>
      </c>
      <c r="W113" s="10">
        <v>17.0</v>
      </c>
      <c r="X113" s="10">
        <v>19.0</v>
      </c>
    </row>
    <row r="114">
      <c r="A114" s="11">
        <v>3.0</v>
      </c>
      <c r="B114" s="12" t="s">
        <v>26</v>
      </c>
      <c r="C114" s="12">
        <v>10.0</v>
      </c>
      <c r="D114" s="11" t="s">
        <v>34</v>
      </c>
      <c r="E114" s="12" t="s">
        <v>26</v>
      </c>
      <c r="F114" s="12">
        <v>21.0</v>
      </c>
      <c r="G114" s="12" t="s">
        <v>77</v>
      </c>
      <c r="H114" s="12" t="s">
        <v>38</v>
      </c>
      <c r="I114" s="12" t="s">
        <v>69</v>
      </c>
      <c r="J114" s="12">
        <f t="shared" si="41"/>
        <v>1</v>
      </c>
      <c r="K114" s="12">
        <v>-19.0</v>
      </c>
      <c r="L114" s="12">
        <v>-17.0</v>
      </c>
      <c r="M114" s="12">
        <v>2.0</v>
      </c>
      <c r="N114" s="12" t="s">
        <v>48</v>
      </c>
      <c r="O114" s="12">
        <f t="shared" si="11"/>
        <v>10</v>
      </c>
      <c r="P114" s="14">
        <v>3.825662</v>
      </c>
      <c r="Q114" s="14">
        <v>4.193824</v>
      </c>
      <c r="R114" s="14">
        <v>0.368162</v>
      </c>
      <c r="S114" s="12">
        <v>5.0</v>
      </c>
      <c r="T114" s="12" t="s">
        <v>28</v>
      </c>
      <c r="U114" s="12" t="s">
        <v>204</v>
      </c>
      <c r="V114" s="12" t="str">
        <f t="shared" si="40"/>
        <v>Eduardo Martínez Alvaradopara 2 yardas, 1er down</v>
      </c>
      <c r="W114" s="10">
        <v>17.0</v>
      </c>
      <c r="X114" s="10">
        <v>19.0</v>
      </c>
    </row>
    <row r="115">
      <c r="A115" s="11">
        <v>3.0</v>
      </c>
      <c r="B115" s="12" t="s">
        <v>26</v>
      </c>
      <c r="C115" s="12">
        <v>10.0</v>
      </c>
      <c r="D115" s="11" t="s">
        <v>34</v>
      </c>
      <c r="E115" s="12" t="s">
        <v>26</v>
      </c>
      <c r="F115" s="12">
        <v>20.0</v>
      </c>
      <c r="G115" s="12" t="s">
        <v>148</v>
      </c>
      <c r="H115" s="12" t="s">
        <v>38</v>
      </c>
      <c r="I115" s="12" t="s">
        <v>39</v>
      </c>
      <c r="J115" s="10">
        <v>10.0</v>
      </c>
      <c r="K115" s="12">
        <v>-17.0</v>
      </c>
      <c r="L115" s="12">
        <v>0.0</v>
      </c>
      <c r="M115" s="12">
        <v>17.0</v>
      </c>
      <c r="N115" s="12" t="s">
        <v>40</v>
      </c>
      <c r="O115" s="12" t="str">
        <f t="shared" si="11"/>
        <v/>
      </c>
      <c r="P115" s="14">
        <v>4.193824</v>
      </c>
      <c r="Q115" s="14">
        <v>7.0</v>
      </c>
      <c r="R115" s="14">
        <v>2.806176</v>
      </c>
      <c r="S115" s="12" t="s">
        <v>27</v>
      </c>
      <c r="T115" s="12" t="s">
        <v>27</v>
      </c>
      <c r="U115" s="12" t="s">
        <v>27</v>
      </c>
      <c r="V115" s="12" t="str">
        <f t="shared" si="40"/>
        <v>Jorge Luis Chaib De Leónpara 17 yardas, TD</v>
      </c>
      <c r="W115" s="10">
        <v>17.0</v>
      </c>
      <c r="X115" s="10">
        <v>25.0</v>
      </c>
    </row>
    <row r="116">
      <c r="A116" s="11">
        <v>3.0</v>
      </c>
      <c r="B116" s="12" t="s">
        <v>26</v>
      </c>
      <c r="C116" s="12" t="s">
        <v>27</v>
      </c>
      <c r="D116" s="12" t="s">
        <v>27</v>
      </c>
      <c r="E116" s="12" t="s">
        <v>26</v>
      </c>
      <c r="F116" s="12">
        <v>42.0</v>
      </c>
      <c r="G116" s="12" t="s">
        <v>42</v>
      </c>
      <c r="H116" s="12" t="s">
        <v>43</v>
      </c>
      <c r="I116" s="12" t="s">
        <v>27</v>
      </c>
      <c r="J116" s="12"/>
      <c r="K116" s="12">
        <v>-10.0</v>
      </c>
      <c r="L116" s="12">
        <v>0.0</v>
      </c>
      <c r="M116" s="12">
        <v>20.0</v>
      </c>
      <c r="N116" s="12" t="s">
        <v>146</v>
      </c>
      <c r="O116" s="12" t="str">
        <f t="shared" si="11"/>
        <v/>
      </c>
      <c r="P116" s="15"/>
      <c r="Q116" s="15"/>
      <c r="R116" s="14">
        <v>0.0</v>
      </c>
      <c r="S116" s="12" t="s">
        <v>27</v>
      </c>
      <c r="T116" s="12" t="s">
        <v>27</v>
      </c>
      <c r="U116" s="12" t="s">
        <v>27</v>
      </c>
      <c r="V116" s="12" t="str">
        <f>G116 &amp; " " &amp; N116</f>
        <v>Reynaldo Adolfo Blanco Palomo PAT exitosa</v>
      </c>
      <c r="W116" s="10">
        <v>17.0</v>
      </c>
      <c r="X116" s="10">
        <v>26.0</v>
      </c>
    </row>
    <row r="117">
      <c r="A117" s="11">
        <v>3.0</v>
      </c>
      <c r="B117" s="12" t="s">
        <v>26</v>
      </c>
      <c r="C117" s="12" t="s">
        <v>27</v>
      </c>
      <c r="D117" s="12" t="s">
        <v>27</v>
      </c>
      <c r="E117" s="12" t="s">
        <v>26</v>
      </c>
      <c r="F117" s="12">
        <v>42.0</v>
      </c>
      <c r="G117" s="12" t="s">
        <v>42</v>
      </c>
      <c r="H117" s="12" t="s">
        <v>31</v>
      </c>
      <c r="I117" s="12" t="s">
        <v>27</v>
      </c>
      <c r="J117" s="12"/>
      <c r="K117" s="12">
        <v>35.0</v>
      </c>
      <c r="L117" s="12">
        <v>0.0</v>
      </c>
      <c r="M117" s="12">
        <v>65.0</v>
      </c>
      <c r="N117" s="12" t="s">
        <v>32</v>
      </c>
      <c r="O117" s="12">
        <f t="shared" si="11"/>
        <v>10</v>
      </c>
      <c r="P117" s="13">
        <v>0.0</v>
      </c>
      <c r="Q117" s="14">
        <v>0.884959</v>
      </c>
      <c r="R117" s="14">
        <f>Q117-P117</f>
        <v>0.884959</v>
      </c>
      <c r="S117" s="12" t="s">
        <v>27</v>
      </c>
      <c r="T117" s="12" t="s">
        <v>27</v>
      </c>
      <c r="U117" s="12" t="s">
        <v>27</v>
      </c>
      <c r="V117" s="12" t="str">
        <f>G117 &amp; " kicks off " &amp; M117 &amp; " yardas, " &amp; N117</f>
        <v>Reynaldo Adolfo Blanco Palomo kicks off 65 yardas, Touchback</v>
      </c>
      <c r="W117" s="10">
        <v>17.0</v>
      </c>
      <c r="X117" s="10">
        <v>26.0</v>
      </c>
    </row>
    <row r="118">
      <c r="A118" s="11">
        <v>3.0</v>
      </c>
      <c r="B118" s="12" t="s">
        <v>28</v>
      </c>
      <c r="C118" s="12">
        <v>15.0</v>
      </c>
      <c r="D118" s="11" t="s">
        <v>51</v>
      </c>
      <c r="E118" s="12" t="s">
        <v>28</v>
      </c>
      <c r="F118" s="12">
        <v>4.0</v>
      </c>
      <c r="G118" s="11" t="s">
        <v>52</v>
      </c>
      <c r="H118" s="12" t="s">
        <v>53</v>
      </c>
      <c r="I118" s="12" t="s">
        <v>39</v>
      </c>
      <c r="J118" s="10">
        <v>10.0</v>
      </c>
      <c r="K118" s="12">
        <v>25.0</v>
      </c>
      <c r="L118" s="12">
        <v>31.0</v>
      </c>
      <c r="M118" s="12">
        <v>6.0</v>
      </c>
      <c r="N118" s="12" t="s">
        <v>54</v>
      </c>
      <c r="O118" s="12">
        <f t="shared" si="11"/>
        <v>4</v>
      </c>
      <c r="P118" s="14">
        <v>0.884959</v>
      </c>
      <c r="Q118" s="14">
        <v>1.172528</v>
      </c>
      <c r="R118" s="14">
        <v>0.287568</v>
      </c>
      <c r="S118" s="12" t="s">
        <v>27</v>
      </c>
      <c r="T118" s="12" t="s">
        <v>27</v>
      </c>
      <c r="U118" s="12" t="s">
        <v>27</v>
      </c>
      <c r="V118" s="12" t="str">
        <f>D118 &amp; H118 &amp; " completo para " &amp;G118 &amp; "para " &amp; M118 &amp; " yardas" </f>
        <v>Fernando Sarabia Pase completo para Víctor Palacios para 6 yardas</v>
      </c>
      <c r="W118" s="10">
        <v>17.0</v>
      </c>
      <c r="X118" s="10">
        <v>26.0</v>
      </c>
    </row>
    <row r="119">
      <c r="A119" s="11">
        <v>3.0</v>
      </c>
      <c r="B119" s="12" t="s">
        <v>28</v>
      </c>
      <c r="C119" s="12">
        <v>15.0</v>
      </c>
      <c r="D119" s="11" t="s">
        <v>51</v>
      </c>
      <c r="E119" s="12" t="s">
        <v>28</v>
      </c>
      <c r="F119" s="12">
        <v>82.0</v>
      </c>
      <c r="G119" s="11" t="s">
        <v>102</v>
      </c>
      <c r="H119" s="12" t="s">
        <v>117</v>
      </c>
      <c r="I119" s="12" t="s">
        <v>58</v>
      </c>
      <c r="J119" s="12">
        <f t="shared" ref="J119:J120" si="42">J118-M118</f>
        <v>4</v>
      </c>
      <c r="K119" s="12">
        <v>31.0</v>
      </c>
      <c r="L119" s="12">
        <v>31.0</v>
      </c>
      <c r="M119" s="12">
        <v>0.0</v>
      </c>
      <c r="N119" s="12" t="s">
        <v>64</v>
      </c>
      <c r="O119" s="12">
        <f t="shared" si="11"/>
        <v>4</v>
      </c>
      <c r="P119" s="14">
        <v>1.172528</v>
      </c>
      <c r="Q119" s="14">
        <v>0.391952</v>
      </c>
      <c r="R119" s="14">
        <v>-0.78058</v>
      </c>
      <c r="S119" s="12" t="s">
        <v>27</v>
      </c>
      <c r="T119" s="12" t="s">
        <v>27</v>
      </c>
      <c r="U119" s="12" t="s">
        <v>27</v>
      </c>
      <c r="V119" s="12" t="str">
        <f>D119 &amp; H119 &amp; " intencionado para " &amp; G119</f>
        <v>Fernando Sarabia Pase incompleto intencionado para Mauricio Santos </v>
      </c>
      <c r="W119" s="10">
        <v>17.0</v>
      </c>
      <c r="X119" s="10">
        <v>26.0</v>
      </c>
    </row>
    <row r="120">
      <c r="A120" s="11">
        <v>3.0</v>
      </c>
      <c r="B120" s="12" t="s">
        <v>28</v>
      </c>
      <c r="C120" s="12" t="s">
        <v>27</v>
      </c>
      <c r="D120" s="12" t="s">
        <v>27</v>
      </c>
      <c r="E120" s="12" t="s">
        <v>26</v>
      </c>
      <c r="F120" s="12" t="s">
        <v>27</v>
      </c>
      <c r="G120" s="12" t="s">
        <v>27</v>
      </c>
      <c r="H120" s="12" t="s">
        <v>161</v>
      </c>
      <c r="I120" s="12" t="s">
        <v>69</v>
      </c>
      <c r="J120" s="12">
        <f t="shared" si="42"/>
        <v>4</v>
      </c>
      <c r="K120" s="12">
        <v>31.0</v>
      </c>
      <c r="L120" s="12">
        <v>46.0</v>
      </c>
      <c r="M120" s="12">
        <v>15.0</v>
      </c>
      <c r="N120" s="12" t="s">
        <v>48</v>
      </c>
      <c r="O120" s="12">
        <f t="shared" si="11"/>
        <v>10</v>
      </c>
      <c r="P120" s="14">
        <v>0.391952</v>
      </c>
      <c r="Q120" s="14">
        <v>2.468226</v>
      </c>
      <c r="R120" s="14">
        <v>2.076274</v>
      </c>
      <c r="S120" s="12" t="s">
        <v>27</v>
      </c>
      <c r="T120" s="12" t="s">
        <v>27</v>
      </c>
      <c r="U120" s="12" t="s">
        <v>27</v>
      </c>
      <c r="V120" s="12" t="str">
        <f>H120 &amp; ", " &amp; M120 &amp; " yardas"</f>
        <v>Castigo a la defensiva, 15 yardas</v>
      </c>
      <c r="W120" s="10">
        <v>17.0</v>
      </c>
      <c r="X120" s="10">
        <v>26.0</v>
      </c>
    </row>
    <row r="121">
      <c r="A121" s="11">
        <v>3.0</v>
      </c>
      <c r="B121" s="12" t="s">
        <v>28</v>
      </c>
      <c r="C121" s="12">
        <v>15.0</v>
      </c>
      <c r="D121" s="11" t="s">
        <v>51</v>
      </c>
      <c r="E121" s="12" t="s">
        <v>28</v>
      </c>
      <c r="F121" s="12">
        <v>82.0</v>
      </c>
      <c r="G121" s="11" t="s">
        <v>102</v>
      </c>
      <c r="H121" s="12" t="s">
        <v>53</v>
      </c>
      <c r="I121" s="12" t="s">
        <v>39</v>
      </c>
      <c r="J121" s="10">
        <v>10.0</v>
      </c>
      <c r="K121" s="12">
        <v>46.0</v>
      </c>
      <c r="L121" s="12">
        <v>-39.0</v>
      </c>
      <c r="M121" s="12">
        <v>15.0</v>
      </c>
      <c r="N121" s="12" t="s">
        <v>48</v>
      </c>
      <c r="O121" s="12">
        <f t="shared" si="11"/>
        <v>10</v>
      </c>
      <c r="P121" s="14">
        <v>2.468226</v>
      </c>
      <c r="Q121" s="14">
        <v>3.286032</v>
      </c>
      <c r="R121" s="14">
        <v>0.817806</v>
      </c>
      <c r="S121" s="12" t="s">
        <v>27</v>
      </c>
      <c r="T121" s="12" t="s">
        <v>27</v>
      </c>
      <c r="U121" s="12" t="s">
        <v>27</v>
      </c>
      <c r="V121" s="12" t="str">
        <f>D121 &amp; H121 &amp; " completo para " &amp;G121 &amp; "para " &amp; M121 &amp; " yardas" </f>
        <v>Fernando Sarabia Pase completo para Mauricio Santos para 15 yardas</v>
      </c>
      <c r="W121" s="10">
        <v>17.0</v>
      </c>
      <c r="X121" s="10">
        <v>26.0</v>
      </c>
    </row>
    <row r="122">
      <c r="A122" s="11">
        <v>3.0</v>
      </c>
      <c r="B122" s="12" t="s">
        <v>28</v>
      </c>
      <c r="C122" s="12">
        <v>15.0</v>
      </c>
      <c r="D122" s="11" t="s">
        <v>51</v>
      </c>
      <c r="E122" s="12" t="s">
        <v>28</v>
      </c>
      <c r="F122" s="12">
        <v>23.0</v>
      </c>
      <c r="G122" s="11" t="s">
        <v>61</v>
      </c>
      <c r="H122" s="12" t="s">
        <v>38</v>
      </c>
      <c r="I122" s="12" t="s">
        <v>39</v>
      </c>
      <c r="J122" s="10">
        <v>10.0</v>
      </c>
      <c r="K122" s="12">
        <v>-39.0</v>
      </c>
      <c r="L122" s="12">
        <v>-33.0</v>
      </c>
      <c r="M122" s="12">
        <v>6.0</v>
      </c>
      <c r="N122" s="12" t="s">
        <v>54</v>
      </c>
      <c r="O122" s="12">
        <f t="shared" si="11"/>
        <v>4</v>
      </c>
      <c r="P122" s="14">
        <v>3.286032</v>
      </c>
      <c r="Q122" s="14">
        <v>3.486481</v>
      </c>
      <c r="R122" s="14">
        <v>0.200448</v>
      </c>
      <c r="S122" s="12">
        <v>2.0</v>
      </c>
      <c r="T122" s="12" t="s">
        <v>26</v>
      </c>
      <c r="U122" s="12" t="s">
        <v>62</v>
      </c>
      <c r="V122" s="12" t="str">
        <f>G122 &amp; "para " &amp; M122 &amp; " yardas, " &amp; N122</f>
        <v>Alejandro Cruz para 6 yardas, 2do down</v>
      </c>
      <c r="W122" s="10">
        <v>17.0</v>
      </c>
      <c r="X122" s="10">
        <v>26.0</v>
      </c>
    </row>
    <row r="123">
      <c r="A123" s="11">
        <v>3.0</v>
      </c>
      <c r="B123" s="12" t="s">
        <v>28</v>
      </c>
      <c r="C123" s="12">
        <v>15.0</v>
      </c>
      <c r="D123" s="11" t="s">
        <v>51</v>
      </c>
      <c r="E123" s="12" t="s">
        <v>28</v>
      </c>
      <c r="F123" s="12">
        <v>83.0</v>
      </c>
      <c r="G123" s="12" t="s">
        <v>171</v>
      </c>
      <c r="H123" s="12" t="s">
        <v>117</v>
      </c>
      <c r="I123" s="12" t="s">
        <v>58</v>
      </c>
      <c r="J123" s="12">
        <f t="shared" ref="J123:J125" si="43">J122-M122</f>
        <v>4</v>
      </c>
      <c r="K123" s="12">
        <v>-33.0</v>
      </c>
      <c r="L123" s="12">
        <v>-33.0</v>
      </c>
      <c r="M123" s="12">
        <v>0.0</v>
      </c>
      <c r="N123" s="12" t="s">
        <v>64</v>
      </c>
      <c r="O123" s="12">
        <f t="shared" si="11"/>
        <v>4</v>
      </c>
      <c r="P123" s="14">
        <v>3.486481</v>
      </c>
      <c r="Q123" s="14">
        <v>2.873191</v>
      </c>
      <c r="R123" s="14">
        <v>-0.61329</v>
      </c>
      <c r="S123" s="12" t="s">
        <v>27</v>
      </c>
      <c r="T123" s="12" t="s">
        <v>27</v>
      </c>
      <c r="U123" s="12" t="s">
        <v>27</v>
      </c>
      <c r="V123" s="12" t="str">
        <f t="shared" ref="V123:V125" si="44">D123 &amp; H123 &amp; " intencionado para " &amp; G123</f>
        <v>Fernando Sarabia Pase incompleto intencionado para Wilfredo Fausto Valdez</v>
      </c>
      <c r="W123" s="10">
        <v>17.0</v>
      </c>
      <c r="X123" s="10">
        <v>26.0</v>
      </c>
    </row>
    <row r="124">
      <c r="A124" s="11">
        <v>3.0</v>
      </c>
      <c r="B124" s="12" t="s">
        <v>28</v>
      </c>
      <c r="C124" s="12">
        <v>15.0</v>
      </c>
      <c r="D124" s="11" t="s">
        <v>51</v>
      </c>
      <c r="E124" s="12" t="s">
        <v>28</v>
      </c>
      <c r="F124" s="12">
        <v>4.0</v>
      </c>
      <c r="G124" s="11" t="s">
        <v>52</v>
      </c>
      <c r="H124" s="12" t="s">
        <v>117</v>
      </c>
      <c r="I124" s="12" t="s">
        <v>69</v>
      </c>
      <c r="J124" s="12">
        <f t="shared" si="43"/>
        <v>4</v>
      </c>
      <c r="K124" s="12">
        <v>-33.0</v>
      </c>
      <c r="L124" s="12">
        <v>-33.0</v>
      </c>
      <c r="M124" s="12">
        <v>0.0</v>
      </c>
      <c r="N124" s="12" t="s">
        <v>70</v>
      </c>
      <c r="O124" s="12">
        <f t="shared" si="11"/>
        <v>4</v>
      </c>
      <c r="P124" s="14">
        <v>2.873191</v>
      </c>
      <c r="Q124" s="14">
        <v>1.402914</v>
      </c>
      <c r="R124" s="14">
        <v>-1.47028</v>
      </c>
      <c r="S124" s="12" t="s">
        <v>27</v>
      </c>
      <c r="T124" s="12" t="s">
        <v>27</v>
      </c>
      <c r="U124" s="12" t="s">
        <v>27</v>
      </c>
      <c r="V124" s="12" t="str">
        <f t="shared" si="44"/>
        <v>Fernando Sarabia Pase incompleto intencionado para Víctor Palacios </v>
      </c>
      <c r="W124" s="10">
        <v>17.0</v>
      </c>
      <c r="X124" s="10">
        <v>26.0</v>
      </c>
    </row>
    <row r="125">
      <c r="A125" s="11">
        <v>3.0</v>
      </c>
      <c r="B125" s="12" t="s">
        <v>28</v>
      </c>
      <c r="C125" s="12">
        <v>15.0</v>
      </c>
      <c r="D125" s="11" t="s">
        <v>51</v>
      </c>
      <c r="E125" s="12" t="s">
        <v>28</v>
      </c>
      <c r="F125" s="12">
        <v>1.0</v>
      </c>
      <c r="G125" s="12" t="s">
        <v>212</v>
      </c>
      <c r="H125" s="12" t="s">
        <v>117</v>
      </c>
      <c r="I125" s="12" t="s">
        <v>74</v>
      </c>
      <c r="J125" s="12">
        <f t="shared" si="43"/>
        <v>4</v>
      </c>
      <c r="K125" s="12">
        <v>-33.0</v>
      </c>
      <c r="L125" s="12">
        <v>-33.0</v>
      </c>
      <c r="M125" s="12">
        <v>0.0</v>
      </c>
      <c r="N125" s="12" t="s">
        <v>194</v>
      </c>
      <c r="O125" s="12">
        <f t="shared" si="11"/>
        <v>10</v>
      </c>
      <c r="P125" s="14">
        <v>1.402914</v>
      </c>
      <c r="Q125" s="14">
        <v>-1.524915</v>
      </c>
      <c r="R125" s="14">
        <f>Q125-P125</f>
        <v>-2.927829</v>
      </c>
      <c r="S125" s="12" t="s">
        <v>27</v>
      </c>
      <c r="T125" s="12" t="s">
        <v>27</v>
      </c>
      <c r="U125" s="12" t="s">
        <v>27</v>
      </c>
      <c r="V125" s="12" t="str">
        <f t="shared" si="44"/>
        <v>Fernando Sarabia Pase incompleto intencionado para Erick Landeros Castillo</v>
      </c>
      <c r="W125" s="10">
        <v>17.0</v>
      </c>
      <c r="X125" s="10">
        <v>26.0</v>
      </c>
    </row>
    <row r="126">
      <c r="A126" s="11">
        <v>3.0</v>
      </c>
      <c r="B126" s="12" t="s">
        <v>26</v>
      </c>
      <c r="C126" s="12">
        <v>10.0</v>
      </c>
      <c r="D126" s="11" t="s">
        <v>34</v>
      </c>
      <c r="E126" s="12" t="s">
        <v>26</v>
      </c>
      <c r="F126" s="12">
        <v>31.0</v>
      </c>
      <c r="G126" s="11" t="s">
        <v>35</v>
      </c>
      <c r="H126" s="12" t="s">
        <v>38</v>
      </c>
      <c r="I126" s="12" t="s">
        <v>39</v>
      </c>
      <c r="J126" s="10">
        <v>10.0</v>
      </c>
      <c r="K126" s="12">
        <v>33.0</v>
      </c>
      <c r="L126" s="12">
        <v>0.0</v>
      </c>
      <c r="M126" s="12">
        <v>67.0</v>
      </c>
      <c r="N126" s="12" t="s">
        <v>40</v>
      </c>
      <c r="O126" s="12" t="str">
        <f t="shared" si="11"/>
        <v/>
      </c>
      <c r="P126" s="14">
        <v>1.524915</v>
      </c>
      <c r="Q126" s="14">
        <v>7.0</v>
      </c>
      <c r="R126" s="14">
        <v>5.475085</v>
      </c>
      <c r="S126" s="12" t="s">
        <v>27</v>
      </c>
      <c r="T126" s="12" t="s">
        <v>27</v>
      </c>
      <c r="U126" s="12" t="s">
        <v>27</v>
      </c>
      <c r="V126" s="12" t="str">
        <f>G126 &amp; "para " &amp; M126 &amp; " yardas, " &amp; N126</f>
        <v>Ángel Alvarado para 67 yardas, TD</v>
      </c>
      <c r="W126" s="10">
        <v>17.0</v>
      </c>
      <c r="X126" s="10">
        <v>32.0</v>
      </c>
    </row>
    <row r="127">
      <c r="A127" s="11">
        <v>3.0</v>
      </c>
      <c r="B127" s="12" t="s">
        <v>26</v>
      </c>
      <c r="C127" s="12" t="s">
        <v>27</v>
      </c>
      <c r="D127" s="12" t="s">
        <v>27</v>
      </c>
      <c r="E127" s="12" t="s">
        <v>26</v>
      </c>
      <c r="F127" s="12">
        <v>42.0</v>
      </c>
      <c r="G127" s="12" t="s">
        <v>42</v>
      </c>
      <c r="H127" s="12" t="s">
        <v>43</v>
      </c>
      <c r="I127" s="12" t="s">
        <v>27</v>
      </c>
      <c r="J127" s="12"/>
      <c r="K127" s="12">
        <v>-10.0</v>
      </c>
      <c r="L127" s="12">
        <v>0.0</v>
      </c>
      <c r="M127" s="12">
        <v>20.0</v>
      </c>
      <c r="N127" s="12" t="s">
        <v>146</v>
      </c>
      <c r="O127" s="12" t="str">
        <f t="shared" si="11"/>
        <v/>
      </c>
      <c r="P127" s="15"/>
      <c r="Q127" s="15"/>
      <c r="R127" s="14">
        <v>0.0</v>
      </c>
      <c r="S127" s="12" t="s">
        <v>27</v>
      </c>
      <c r="T127" s="12" t="s">
        <v>27</v>
      </c>
      <c r="U127" s="12" t="s">
        <v>27</v>
      </c>
      <c r="V127" s="12" t="str">
        <f>G127 &amp; " " &amp; N127</f>
        <v>Reynaldo Adolfo Blanco Palomo PAT exitosa</v>
      </c>
      <c r="W127" s="10">
        <v>17.0</v>
      </c>
      <c r="X127" s="10">
        <v>33.0</v>
      </c>
    </row>
    <row r="128">
      <c r="A128" s="11">
        <v>3.0</v>
      </c>
      <c r="B128" s="12" t="s">
        <v>26</v>
      </c>
      <c r="C128" s="12" t="s">
        <v>27</v>
      </c>
      <c r="D128" s="12" t="s">
        <v>27</v>
      </c>
      <c r="E128" s="12" t="s">
        <v>26</v>
      </c>
      <c r="F128" s="12">
        <v>42.0</v>
      </c>
      <c r="G128" s="12" t="s">
        <v>42</v>
      </c>
      <c r="H128" s="12" t="s">
        <v>31</v>
      </c>
      <c r="I128" s="12" t="s">
        <v>27</v>
      </c>
      <c r="J128" s="12"/>
      <c r="K128" s="12">
        <v>35.0</v>
      </c>
      <c r="L128" s="12">
        <v>0.0</v>
      </c>
      <c r="M128" s="12">
        <v>65.0</v>
      </c>
      <c r="N128" s="12" t="s">
        <v>32</v>
      </c>
      <c r="O128" s="12">
        <f t="shared" si="11"/>
        <v>10</v>
      </c>
      <c r="P128" s="13">
        <v>0.0</v>
      </c>
      <c r="Q128" s="14">
        <v>0.884959</v>
      </c>
      <c r="R128" s="14">
        <f>Q128-P128</f>
        <v>0.884959</v>
      </c>
      <c r="S128" s="12" t="s">
        <v>27</v>
      </c>
      <c r="T128" s="12" t="s">
        <v>27</v>
      </c>
      <c r="U128" s="12" t="s">
        <v>27</v>
      </c>
      <c r="V128" s="12" t="str">
        <f>G128 &amp; " kicks off " &amp; M128 &amp; " yardas, " &amp; N128</f>
        <v>Reynaldo Adolfo Blanco Palomo kicks off 65 yardas, Touchback</v>
      </c>
      <c r="W128" s="10">
        <v>17.0</v>
      </c>
      <c r="X128" s="10">
        <v>33.0</v>
      </c>
    </row>
    <row r="129">
      <c r="A129" s="11">
        <v>3.0</v>
      </c>
      <c r="B129" s="12" t="s">
        <v>28</v>
      </c>
      <c r="C129" s="12">
        <v>15.0</v>
      </c>
      <c r="D129" s="11" t="s">
        <v>51</v>
      </c>
      <c r="E129" s="12" t="s">
        <v>28</v>
      </c>
      <c r="F129" s="12">
        <v>23.0</v>
      </c>
      <c r="G129" s="11" t="s">
        <v>61</v>
      </c>
      <c r="H129" s="12" t="s">
        <v>38</v>
      </c>
      <c r="I129" s="12" t="s">
        <v>39</v>
      </c>
      <c r="J129" s="10">
        <v>10.0</v>
      </c>
      <c r="K129" s="12">
        <v>25.0</v>
      </c>
      <c r="L129" s="12">
        <v>28.0</v>
      </c>
      <c r="M129" s="12">
        <v>3.0</v>
      </c>
      <c r="N129" s="12" t="s">
        <v>54</v>
      </c>
      <c r="O129" s="12">
        <f t="shared" si="11"/>
        <v>7</v>
      </c>
      <c r="P129" s="14">
        <v>0.884959</v>
      </c>
      <c r="Q129" s="14">
        <v>0.664532</v>
      </c>
      <c r="R129" s="14">
        <v>-0.22043</v>
      </c>
      <c r="S129" s="12">
        <v>97.0</v>
      </c>
      <c r="T129" s="12" t="s">
        <v>26</v>
      </c>
      <c r="U129" s="12" t="s">
        <v>123</v>
      </c>
      <c r="V129" s="12" t="str">
        <f>G129 &amp; "para " &amp; M129 &amp; " yardas, " &amp; N129</f>
        <v>Alejandro Cruz para 3 yardas, 2do down</v>
      </c>
      <c r="W129" s="10">
        <v>17.0</v>
      </c>
      <c r="X129" s="10">
        <v>33.0</v>
      </c>
    </row>
    <row r="130">
      <c r="A130" s="11">
        <v>3.0</v>
      </c>
      <c r="B130" s="12" t="s">
        <v>28</v>
      </c>
      <c r="C130" s="12">
        <v>15.0</v>
      </c>
      <c r="D130" s="11" t="s">
        <v>51</v>
      </c>
      <c r="E130" s="12" t="s">
        <v>28</v>
      </c>
      <c r="F130" s="12">
        <v>4.0</v>
      </c>
      <c r="G130" s="11" t="s">
        <v>52</v>
      </c>
      <c r="H130" s="12" t="s">
        <v>117</v>
      </c>
      <c r="I130" s="12" t="s">
        <v>58</v>
      </c>
      <c r="J130" s="12">
        <f t="shared" ref="J130:J131" si="45">J129-M129</f>
        <v>7</v>
      </c>
      <c r="K130" s="12">
        <v>28.0</v>
      </c>
      <c r="L130" s="12">
        <v>28.0</v>
      </c>
      <c r="M130" s="12">
        <v>0.0</v>
      </c>
      <c r="N130" s="12" t="s">
        <v>64</v>
      </c>
      <c r="O130" s="12">
        <f t="shared" si="11"/>
        <v>7</v>
      </c>
      <c r="P130" s="14">
        <v>0.664532</v>
      </c>
      <c r="Q130" s="14">
        <v>-0.17605</v>
      </c>
      <c r="R130" s="14">
        <v>-0.84058</v>
      </c>
      <c r="S130" s="12" t="s">
        <v>27</v>
      </c>
      <c r="T130" s="12" t="s">
        <v>27</v>
      </c>
      <c r="U130" s="12" t="s">
        <v>27</v>
      </c>
      <c r="V130" s="12" t="str">
        <f>D130 &amp; H130 &amp; " intencionado para " &amp; G130</f>
        <v>Fernando Sarabia Pase incompleto intencionado para Víctor Palacios </v>
      </c>
      <c r="W130" s="10">
        <v>17.0</v>
      </c>
      <c r="X130" s="10">
        <v>33.0</v>
      </c>
    </row>
    <row r="131">
      <c r="A131" s="11">
        <v>3.0</v>
      </c>
      <c r="B131" s="12" t="s">
        <v>28</v>
      </c>
      <c r="C131" s="12">
        <v>15.0</v>
      </c>
      <c r="D131" s="11" t="s">
        <v>51</v>
      </c>
      <c r="E131" s="12" t="s">
        <v>28</v>
      </c>
      <c r="F131" s="12">
        <v>11.0</v>
      </c>
      <c r="G131" s="12" t="s">
        <v>110</v>
      </c>
      <c r="H131" s="12" t="s">
        <v>53</v>
      </c>
      <c r="I131" s="12" t="s">
        <v>69</v>
      </c>
      <c r="J131" s="12">
        <f t="shared" si="45"/>
        <v>7</v>
      </c>
      <c r="K131" s="12">
        <v>28.0</v>
      </c>
      <c r="L131" s="12">
        <v>42.0</v>
      </c>
      <c r="M131" s="12">
        <v>14.0</v>
      </c>
      <c r="N131" s="12" t="s">
        <v>48</v>
      </c>
      <c r="O131" s="12">
        <f t="shared" si="11"/>
        <v>10</v>
      </c>
      <c r="P131" s="14">
        <v>-0.17605</v>
      </c>
      <c r="Q131" s="14">
        <v>2.168501</v>
      </c>
      <c r="R131" s="14">
        <v>2.344553</v>
      </c>
      <c r="S131" s="12" t="s">
        <v>27</v>
      </c>
      <c r="T131" s="12" t="s">
        <v>27</v>
      </c>
      <c r="U131" s="12" t="s">
        <v>27</v>
      </c>
      <c r="V131" s="12" t="str">
        <f>D131 &amp; H131 &amp; " completo para " &amp;G131 &amp; "para " &amp; M131 &amp; " yardas" </f>
        <v>Fernando Sarabia Pase completo para Daniel Santos Guerrapara 14 yardas</v>
      </c>
      <c r="W131" s="10">
        <v>17.0</v>
      </c>
      <c r="X131" s="10">
        <v>33.0</v>
      </c>
    </row>
    <row r="132">
      <c r="A132" s="11">
        <v>3.0</v>
      </c>
      <c r="B132" s="12" t="s">
        <v>28</v>
      </c>
      <c r="C132" s="12">
        <v>15.0</v>
      </c>
      <c r="D132" s="11" t="s">
        <v>51</v>
      </c>
      <c r="E132" s="12" t="s">
        <v>28</v>
      </c>
      <c r="F132" s="12">
        <v>23.0</v>
      </c>
      <c r="G132" s="11" t="s">
        <v>61</v>
      </c>
      <c r="H132" s="12" t="s">
        <v>117</v>
      </c>
      <c r="I132" s="12" t="s">
        <v>39</v>
      </c>
      <c r="J132" s="10">
        <v>10.0</v>
      </c>
      <c r="K132" s="12">
        <v>42.0</v>
      </c>
      <c r="L132" s="12">
        <v>42.0</v>
      </c>
      <c r="M132" s="12">
        <v>0.0</v>
      </c>
      <c r="N132" s="12" t="s">
        <v>54</v>
      </c>
      <c r="O132" s="12">
        <f t="shared" si="11"/>
        <v>10</v>
      </c>
      <c r="P132" s="14">
        <v>2.168501</v>
      </c>
      <c r="Q132" s="14">
        <v>1.571283</v>
      </c>
      <c r="R132" s="14">
        <v>-0.59722</v>
      </c>
      <c r="S132" s="12" t="s">
        <v>27</v>
      </c>
      <c r="T132" s="12" t="s">
        <v>27</v>
      </c>
      <c r="U132" s="12" t="s">
        <v>27</v>
      </c>
      <c r="V132" s="12" t="str">
        <f>D132 &amp; H132 &amp; " intencionado para " &amp; G132</f>
        <v>Fernando Sarabia Pase incompleto intencionado para Alejandro Cruz </v>
      </c>
      <c r="W132" s="10">
        <v>17.0</v>
      </c>
      <c r="X132" s="10">
        <v>33.0</v>
      </c>
    </row>
    <row r="133">
      <c r="A133" s="11">
        <v>3.0</v>
      </c>
      <c r="B133" s="12" t="s">
        <v>28</v>
      </c>
      <c r="C133" s="12">
        <v>15.0</v>
      </c>
      <c r="D133" s="11" t="s">
        <v>51</v>
      </c>
      <c r="E133" s="12" t="s">
        <v>28</v>
      </c>
      <c r="F133" s="12">
        <v>15.0</v>
      </c>
      <c r="G133" s="11" t="s">
        <v>51</v>
      </c>
      <c r="H133" s="12" t="s">
        <v>38</v>
      </c>
      <c r="I133" s="12" t="s">
        <v>58</v>
      </c>
      <c r="J133" s="12">
        <f>J132-M132</f>
        <v>10</v>
      </c>
      <c r="K133" s="12">
        <v>42.0</v>
      </c>
      <c r="L133" s="12">
        <v>-44.0</v>
      </c>
      <c r="M133" s="12">
        <v>14.0</v>
      </c>
      <c r="N133" s="12" t="s">
        <v>48</v>
      </c>
      <c r="O133" s="12">
        <f t="shared" si="11"/>
        <v>10</v>
      </c>
      <c r="P133" s="14">
        <v>1.571283</v>
      </c>
      <c r="Q133" s="14">
        <v>3.005933</v>
      </c>
      <c r="R133" s="14">
        <v>1.434651</v>
      </c>
      <c r="S133" s="12" t="s">
        <v>27</v>
      </c>
      <c r="T133" s="12" t="s">
        <v>27</v>
      </c>
      <c r="U133" s="12" t="s">
        <v>27</v>
      </c>
      <c r="V133" s="12" t="str">
        <f>G133 &amp; "para " &amp; M133 &amp; " yardas, " &amp; N133</f>
        <v>Fernando Sarabia para 14 yardas, 1er down</v>
      </c>
      <c r="W133" s="10">
        <v>17.0</v>
      </c>
      <c r="X133" s="10">
        <v>33.0</v>
      </c>
    </row>
    <row r="134">
      <c r="A134" s="11">
        <v>3.0</v>
      </c>
      <c r="B134" s="12" t="s">
        <v>28</v>
      </c>
      <c r="C134" s="12">
        <v>15.0</v>
      </c>
      <c r="D134" s="11" t="s">
        <v>51</v>
      </c>
      <c r="E134" s="12" t="s">
        <v>28</v>
      </c>
      <c r="F134" s="12">
        <v>83.0</v>
      </c>
      <c r="G134" s="12" t="s">
        <v>171</v>
      </c>
      <c r="H134" s="12" t="s">
        <v>53</v>
      </c>
      <c r="I134" s="12" t="s">
        <v>39</v>
      </c>
      <c r="J134" s="10">
        <v>10.0</v>
      </c>
      <c r="K134" s="12">
        <v>-44.0</v>
      </c>
      <c r="L134" s="12">
        <v>-39.0</v>
      </c>
      <c r="M134" s="12">
        <v>5.0</v>
      </c>
      <c r="N134" s="12" t="s">
        <v>54</v>
      </c>
      <c r="O134" s="12">
        <f t="shared" si="11"/>
        <v>5</v>
      </c>
      <c r="P134" s="14">
        <v>3.005933</v>
      </c>
      <c r="Q134" s="14">
        <v>3.128795</v>
      </c>
      <c r="R134" s="14">
        <v>0.122861</v>
      </c>
      <c r="S134" s="12">
        <v>2.0</v>
      </c>
      <c r="T134" s="12" t="s">
        <v>26</v>
      </c>
      <c r="U134" s="12" t="s">
        <v>62</v>
      </c>
      <c r="V134" s="12" t="str">
        <f>D134 &amp; H134 &amp; " completo para " &amp;G134 &amp; "para " &amp; M134 &amp; " yardas" </f>
        <v>Fernando Sarabia Pase completo para Wilfredo Fausto Valdezpara 5 yardas</v>
      </c>
      <c r="W134" s="10">
        <v>17.0</v>
      </c>
      <c r="X134" s="10">
        <v>33.0</v>
      </c>
    </row>
    <row r="135">
      <c r="A135" s="11">
        <v>4.0</v>
      </c>
      <c r="B135" s="12" t="s">
        <v>28</v>
      </c>
      <c r="C135" s="12" t="s">
        <v>27</v>
      </c>
      <c r="D135" s="12" t="s">
        <v>27</v>
      </c>
      <c r="E135" s="12" t="s">
        <v>28</v>
      </c>
      <c r="F135" s="12" t="s">
        <v>27</v>
      </c>
      <c r="G135" s="12" t="s">
        <v>27</v>
      </c>
      <c r="H135" s="12" t="s">
        <v>106</v>
      </c>
      <c r="I135" s="12" t="s">
        <v>58</v>
      </c>
      <c r="J135" s="12">
        <f t="shared" ref="J135:J136" si="46">J134-M134</f>
        <v>5</v>
      </c>
      <c r="K135" s="12">
        <v>-39.0</v>
      </c>
      <c r="L135" s="12">
        <v>-49.0</v>
      </c>
      <c r="M135" s="12">
        <v>-10.0</v>
      </c>
      <c r="N135" s="12" t="s">
        <v>54</v>
      </c>
      <c r="O135" s="12">
        <f t="shared" si="11"/>
        <v>15</v>
      </c>
      <c r="P135" s="14">
        <v>3.128795</v>
      </c>
      <c r="Q135" s="14">
        <v>2.214382</v>
      </c>
      <c r="R135" s="14">
        <v>-0.91441</v>
      </c>
      <c r="S135" s="12" t="s">
        <v>27</v>
      </c>
      <c r="T135" s="12" t="s">
        <v>27</v>
      </c>
      <c r="U135" s="12" t="s">
        <v>27</v>
      </c>
      <c r="V135" s="12" t="str">
        <f>H135 &amp; ", " &amp; M135 &amp; " yardas"</f>
        <v>Castigo a la ofensiva, -10 yardas</v>
      </c>
      <c r="W135" s="10">
        <v>17.0</v>
      </c>
      <c r="X135" s="10">
        <v>33.0</v>
      </c>
    </row>
    <row r="136">
      <c r="A136" s="11">
        <v>4.0</v>
      </c>
      <c r="B136" s="12" t="s">
        <v>28</v>
      </c>
      <c r="C136" s="12">
        <v>15.0</v>
      </c>
      <c r="D136" s="11" t="s">
        <v>51</v>
      </c>
      <c r="E136" s="12" t="s">
        <v>28</v>
      </c>
      <c r="F136" s="12">
        <v>11.0</v>
      </c>
      <c r="G136" s="12" t="s">
        <v>110</v>
      </c>
      <c r="H136" s="12" t="s">
        <v>53</v>
      </c>
      <c r="I136" s="12" t="s">
        <v>58</v>
      </c>
      <c r="J136" s="12">
        <f t="shared" si="46"/>
        <v>15</v>
      </c>
      <c r="K136" s="12">
        <v>-49.0</v>
      </c>
      <c r="L136" s="12">
        <v>0.0</v>
      </c>
      <c r="M136" s="12">
        <v>49.0</v>
      </c>
      <c r="N136" s="12" t="s">
        <v>40</v>
      </c>
      <c r="O136" s="12" t="str">
        <f t="shared" si="11"/>
        <v/>
      </c>
      <c r="P136" s="14">
        <v>2.214382</v>
      </c>
      <c r="Q136" s="14">
        <v>7.0</v>
      </c>
      <c r="R136" s="14">
        <v>4.785618</v>
      </c>
      <c r="S136" s="12" t="s">
        <v>27</v>
      </c>
      <c r="T136" s="12" t="s">
        <v>27</v>
      </c>
      <c r="U136" s="12" t="s">
        <v>27</v>
      </c>
      <c r="V136" s="12" t="str">
        <f>D136 &amp; H136 &amp; " completo para " &amp;G136 &amp; "para " &amp; M136 &amp; " yardas" </f>
        <v>Fernando Sarabia Pase completo para Daniel Santos Guerrapara 49 yardas</v>
      </c>
      <c r="W136" s="10">
        <v>23.0</v>
      </c>
      <c r="X136" s="10">
        <v>33.0</v>
      </c>
    </row>
    <row r="137">
      <c r="A137" s="11">
        <v>4.0</v>
      </c>
      <c r="B137" s="12" t="s">
        <v>28</v>
      </c>
      <c r="C137" s="12">
        <v>15.0</v>
      </c>
      <c r="D137" s="11" t="s">
        <v>51</v>
      </c>
      <c r="E137" s="12" t="s">
        <v>28</v>
      </c>
      <c r="F137" s="12">
        <v>4.0</v>
      </c>
      <c r="G137" s="11" t="s">
        <v>52</v>
      </c>
      <c r="H137" s="12" t="s">
        <v>221</v>
      </c>
      <c r="I137" s="12" t="s">
        <v>27</v>
      </c>
      <c r="J137" s="12"/>
      <c r="K137" s="12">
        <v>-3.0</v>
      </c>
      <c r="L137" s="12">
        <v>0.0</v>
      </c>
      <c r="M137" s="12">
        <v>3.0</v>
      </c>
      <c r="N137" s="12" t="s">
        <v>222</v>
      </c>
      <c r="O137" s="12" t="str">
        <f t="shared" si="11"/>
        <v/>
      </c>
      <c r="P137" s="15"/>
      <c r="Q137" s="15"/>
      <c r="R137" s="14">
        <v>0.0</v>
      </c>
      <c r="S137" s="12" t="s">
        <v>27</v>
      </c>
      <c r="T137" s="12" t="s">
        <v>27</v>
      </c>
      <c r="U137" s="12" t="s">
        <v>27</v>
      </c>
      <c r="V137" s="12" t="str">
        <f>N137</f>
        <v>2-PT fallada</v>
      </c>
      <c r="W137" s="10">
        <v>23.0</v>
      </c>
      <c r="X137" s="10">
        <v>33.0</v>
      </c>
    </row>
    <row r="138">
      <c r="A138" s="11">
        <v>4.0</v>
      </c>
      <c r="B138" s="12" t="s">
        <v>28</v>
      </c>
      <c r="C138" s="12" t="s">
        <v>27</v>
      </c>
      <c r="D138" s="12" t="s">
        <v>27</v>
      </c>
      <c r="E138" s="12" t="s">
        <v>28</v>
      </c>
      <c r="F138" s="12">
        <v>28.0</v>
      </c>
      <c r="G138" s="11" t="s">
        <v>29</v>
      </c>
      <c r="H138" s="12" t="s">
        <v>31</v>
      </c>
      <c r="I138" s="12" t="s">
        <v>27</v>
      </c>
      <c r="J138" s="12"/>
      <c r="K138" s="12">
        <v>35.0</v>
      </c>
      <c r="L138" s="12">
        <v>-5.0</v>
      </c>
      <c r="M138" s="12">
        <v>60.0</v>
      </c>
      <c r="N138" s="12" t="s">
        <v>167</v>
      </c>
      <c r="O138" s="12" t="str">
        <f t="shared" si="11"/>
        <v/>
      </c>
      <c r="P138" s="15"/>
      <c r="Q138" s="15"/>
      <c r="R138" s="14">
        <v>0.0</v>
      </c>
      <c r="S138" s="12" t="s">
        <v>27</v>
      </c>
      <c r="T138" s="12" t="s">
        <v>27</v>
      </c>
      <c r="U138" s="12" t="s">
        <v>27</v>
      </c>
      <c r="V138" s="12" t="str">
        <f>G138 &amp; " kicks off " &amp; M138 &amp; " yardas, " &amp; N138 &amp; " por " &amp; G139 &amp; " para " &amp; M139 &amp; " yardas"</f>
        <v>Roberto Medina kicks off 60 yardas, Regreso por Jorge Luis Chaib De León para 17 yardas</v>
      </c>
      <c r="W138" s="10">
        <v>23.0</v>
      </c>
      <c r="X138" s="10">
        <v>33.0</v>
      </c>
    </row>
    <row r="139">
      <c r="A139" s="11">
        <v>4.0</v>
      </c>
      <c r="B139" s="12" t="s">
        <v>26</v>
      </c>
      <c r="C139" s="12" t="s">
        <v>27</v>
      </c>
      <c r="D139" s="12" t="s">
        <v>27</v>
      </c>
      <c r="E139" s="12" t="s">
        <v>26</v>
      </c>
      <c r="F139" s="12">
        <v>20.0</v>
      </c>
      <c r="G139" s="12" t="s">
        <v>148</v>
      </c>
      <c r="H139" s="12" t="s">
        <v>47</v>
      </c>
      <c r="I139" s="12" t="s">
        <v>27</v>
      </c>
      <c r="J139" s="12"/>
      <c r="K139" s="12">
        <v>5.0</v>
      </c>
      <c r="L139" s="12">
        <v>22.0</v>
      </c>
      <c r="M139" s="12">
        <v>17.0</v>
      </c>
      <c r="N139" s="12" t="s">
        <v>48</v>
      </c>
      <c r="O139" s="12">
        <f t="shared" si="11"/>
        <v>10</v>
      </c>
      <c r="P139" s="13">
        <v>0.0</v>
      </c>
      <c r="Q139" s="14">
        <v>0.649215</v>
      </c>
      <c r="R139" s="14">
        <f>Q139-P139</f>
        <v>0.649215</v>
      </c>
      <c r="S139" s="12">
        <v>46.0</v>
      </c>
      <c r="T139" s="12" t="s">
        <v>28</v>
      </c>
      <c r="U139" s="12" t="s">
        <v>27</v>
      </c>
      <c r="V139" s="12" t="s">
        <v>223</v>
      </c>
      <c r="W139" s="10">
        <v>23.0</v>
      </c>
      <c r="X139" s="10">
        <v>33.0</v>
      </c>
    </row>
    <row r="140">
      <c r="A140" s="11">
        <v>4.0</v>
      </c>
      <c r="B140" s="12" t="s">
        <v>26</v>
      </c>
      <c r="C140" s="12">
        <v>10.0</v>
      </c>
      <c r="D140" s="11" t="s">
        <v>34</v>
      </c>
      <c r="E140" s="12" t="s">
        <v>26</v>
      </c>
      <c r="F140" s="12">
        <v>10.0</v>
      </c>
      <c r="G140" s="11" t="s">
        <v>34</v>
      </c>
      <c r="H140" s="12" t="s">
        <v>38</v>
      </c>
      <c r="I140" s="12" t="s">
        <v>39</v>
      </c>
      <c r="J140" s="10">
        <v>10.0</v>
      </c>
      <c r="K140" s="12">
        <v>22.0</v>
      </c>
      <c r="L140" s="12">
        <v>23.0</v>
      </c>
      <c r="M140" s="12">
        <v>1.0</v>
      </c>
      <c r="N140" s="12" t="s">
        <v>54</v>
      </c>
      <c r="O140" s="12">
        <f t="shared" si="11"/>
        <v>9</v>
      </c>
      <c r="P140" s="14">
        <v>0.649215</v>
      </c>
      <c r="Q140" s="14">
        <v>0.124076</v>
      </c>
      <c r="R140" s="14">
        <v>-0.52514</v>
      </c>
      <c r="S140" s="12">
        <v>29.0</v>
      </c>
      <c r="T140" s="12" t="s">
        <v>28</v>
      </c>
      <c r="U140" s="12" t="s">
        <v>80</v>
      </c>
      <c r="V140" s="12" t="str">
        <f t="shared" ref="V140:V145" si="47">G140 &amp; "para " &amp; M140 &amp; " yardas, " &amp; N140</f>
        <v>Sergio Resendiz para 1 yardas, 2do down</v>
      </c>
      <c r="W140" s="10">
        <v>23.0</v>
      </c>
      <c r="X140" s="10">
        <v>33.0</v>
      </c>
    </row>
    <row r="141">
      <c r="A141" s="11">
        <v>4.0</v>
      </c>
      <c r="B141" s="12" t="s">
        <v>26</v>
      </c>
      <c r="C141" s="12">
        <v>10.0</v>
      </c>
      <c r="D141" s="11" t="s">
        <v>34</v>
      </c>
      <c r="E141" s="12" t="s">
        <v>26</v>
      </c>
      <c r="F141" s="12">
        <v>31.0</v>
      </c>
      <c r="G141" s="11" t="s">
        <v>35</v>
      </c>
      <c r="H141" s="12" t="s">
        <v>38</v>
      </c>
      <c r="I141" s="12" t="s">
        <v>58</v>
      </c>
      <c r="J141" s="12">
        <f>J140-M140</f>
        <v>9</v>
      </c>
      <c r="K141" s="12">
        <v>23.0</v>
      </c>
      <c r="L141" s="12">
        <v>34.0</v>
      </c>
      <c r="M141" s="12">
        <v>11.0</v>
      </c>
      <c r="N141" s="12" t="s">
        <v>48</v>
      </c>
      <c r="O141" s="12">
        <f t="shared" si="11"/>
        <v>10</v>
      </c>
      <c r="P141" s="14">
        <v>0.124076</v>
      </c>
      <c r="Q141" s="14">
        <v>1.61706</v>
      </c>
      <c r="R141" s="14">
        <v>1.492984</v>
      </c>
      <c r="S141" s="12">
        <v>27.0</v>
      </c>
      <c r="T141" s="12" t="s">
        <v>28</v>
      </c>
      <c r="U141" s="12" t="s">
        <v>89</v>
      </c>
      <c r="V141" s="12" t="str">
        <f t="shared" si="47"/>
        <v>Ángel Alvarado para 11 yardas, 1er down</v>
      </c>
      <c r="W141" s="10">
        <v>23.0</v>
      </c>
      <c r="X141" s="10">
        <v>33.0</v>
      </c>
    </row>
    <row r="142">
      <c r="A142" s="11">
        <v>4.0</v>
      </c>
      <c r="B142" s="12" t="s">
        <v>26</v>
      </c>
      <c r="C142" s="12">
        <v>10.0</v>
      </c>
      <c r="D142" s="11" t="s">
        <v>34</v>
      </c>
      <c r="E142" s="12" t="s">
        <v>26</v>
      </c>
      <c r="F142" s="12">
        <v>10.0</v>
      </c>
      <c r="G142" s="11" t="s">
        <v>34</v>
      </c>
      <c r="H142" s="12" t="s">
        <v>38</v>
      </c>
      <c r="I142" s="12" t="s">
        <v>39</v>
      </c>
      <c r="J142" s="10">
        <v>10.0</v>
      </c>
      <c r="K142" s="12">
        <v>34.0</v>
      </c>
      <c r="L142" s="12">
        <v>37.0</v>
      </c>
      <c r="M142" s="12">
        <v>3.0</v>
      </c>
      <c r="N142" s="12" t="s">
        <v>54</v>
      </c>
      <c r="O142" s="12">
        <f t="shared" si="11"/>
        <v>7</v>
      </c>
      <c r="P142" s="14">
        <v>1.61706</v>
      </c>
      <c r="Q142" s="14">
        <v>1.45628</v>
      </c>
      <c r="R142" s="14">
        <v>-0.16078</v>
      </c>
      <c r="S142" s="12">
        <v>10.0</v>
      </c>
      <c r="T142" s="12" t="s">
        <v>28</v>
      </c>
      <c r="U142" s="12" t="s">
        <v>114</v>
      </c>
      <c r="V142" s="12" t="str">
        <f t="shared" si="47"/>
        <v>Sergio Resendiz para 3 yardas, 2do down</v>
      </c>
      <c r="W142" s="10">
        <v>23.0</v>
      </c>
      <c r="X142" s="10">
        <v>33.0</v>
      </c>
    </row>
    <row r="143">
      <c r="A143" s="11">
        <v>4.0</v>
      </c>
      <c r="B143" s="12" t="s">
        <v>26</v>
      </c>
      <c r="C143" s="12">
        <v>31.0</v>
      </c>
      <c r="D143" s="12" t="s">
        <v>137</v>
      </c>
      <c r="E143" s="12" t="s">
        <v>26</v>
      </c>
      <c r="F143" s="12">
        <v>31.0</v>
      </c>
      <c r="G143" s="11" t="s">
        <v>35</v>
      </c>
      <c r="H143" s="12" t="s">
        <v>38</v>
      </c>
      <c r="I143" s="12" t="s">
        <v>58</v>
      </c>
      <c r="J143" s="12">
        <f>J142-M142</f>
        <v>7</v>
      </c>
      <c r="K143" s="12">
        <v>37.0</v>
      </c>
      <c r="L143" s="12">
        <v>48.0</v>
      </c>
      <c r="M143" s="12">
        <v>11.0</v>
      </c>
      <c r="N143" s="12" t="s">
        <v>48</v>
      </c>
      <c r="O143" s="12">
        <f t="shared" si="11"/>
        <v>10</v>
      </c>
      <c r="P143" s="14">
        <v>1.45628</v>
      </c>
      <c r="Q143" s="14">
        <v>2.59181</v>
      </c>
      <c r="R143" s="14">
        <v>1.13553</v>
      </c>
      <c r="S143" s="12">
        <v>6.0</v>
      </c>
      <c r="T143" s="12" t="s">
        <v>28</v>
      </c>
      <c r="U143" s="12" t="s">
        <v>227</v>
      </c>
      <c r="V143" s="12" t="str">
        <f t="shared" si="47"/>
        <v>Ángel Alvarado para 11 yardas, 1er down</v>
      </c>
      <c r="W143" s="10">
        <v>23.0</v>
      </c>
      <c r="X143" s="10">
        <v>33.0</v>
      </c>
    </row>
    <row r="144">
      <c r="A144" s="11">
        <v>4.0</v>
      </c>
      <c r="B144" s="12" t="s">
        <v>26</v>
      </c>
      <c r="C144" s="12">
        <v>10.0</v>
      </c>
      <c r="D144" s="11" t="s">
        <v>34</v>
      </c>
      <c r="E144" s="12" t="s">
        <v>26</v>
      </c>
      <c r="F144" s="12">
        <v>20.0</v>
      </c>
      <c r="G144" s="12" t="s">
        <v>148</v>
      </c>
      <c r="H144" s="12" t="s">
        <v>38</v>
      </c>
      <c r="I144" s="12" t="s">
        <v>39</v>
      </c>
      <c r="J144" s="10">
        <v>10.0</v>
      </c>
      <c r="K144" s="12">
        <v>48.0</v>
      </c>
      <c r="L144" s="12">
        <v>-49.0</v>
      </c>
      <c r="M144" s="12">
        <v>3.0</v>
      </c>
      <c r="N144" s="12" t="s">
        <v>54</v>
      </c>
      <c r="O144" s="12">
        <f t="shared" si="11"/>
        <v>7</v>
      </c>
      <c r="P144" s="14">
        <v>2.59181</v>
      </c>
      <c r="Q144" s="14">
        <v>2.438993</v>
      </c>
      <c r="R144" s="14">
        <v>-0.15282</v>
      </c>
      <c r="S144" s="12">
        <v>66.0</v>
      </c>
      <c r="T144" s="12" t="s">
        <v>28</v>
      </c>
      <c r="U144" s="12" t="s">
        <v>27</v>
      </c>
      <c r="V144" s="12" t="str">
        <f t="shared" si="47"/>
        <v>Jorge Luis Chaib De Leónpara 3 yardas, 2do down</v>
      </c>
      <c r="W144" s="10">
        <v>23.0</v>
      </c>
      <c r="X144" s="10">
        <v>33.0</v>
      </c>
    </row>
    <row r="145">
      <c r="A145" s="11">
        <v>4.0</v>
      </c>
      <c r="B145" s="12" t="s">
        <v>26</v>
      </c>
      <c r="C145" s="12">
        <v>10.0</v>
      </c>
      <c r="D145" s="11" t="s">
        <v>34</v>
      </c>
      <c r="E145" s="12" t="s">
        <v>26</v>
      </c>
      <c r="F145" s="12">
        <v>26.0</v>
      </c>
      <c r="G145" s="12" t="s">
        <v>229</v>
      </c>
      <c r="H145" s="12" t="s">
        <v>38</v>
      </c>
      <c r="I145" s="12" t="s">
        <v>58</v>
      </c>
      <c r="J145" s="12">
        <f t="shared" ref="J145:J148" si="48">J144-M144</f>
        <v>7</v>
      </c>
      <c r="K145" s="12">
        <v>-49.0</v>
      </c>
      <c r="L145" s="12">
        <v>-44.0</v>
      </c>
      <c r="M145" s="12">
        <v>5.0</v>
      </c>
      <c r="N145" s="12" t="s">
        <v>64</v>
      </c>
      <c r="O145" s="12">
        <f t="shared" si="11"/>
        <v>2</v>
      </c>
      <c r="P145" s="14">
        <v>2.438993</v>
      </c>
      <c r="Q145" s="14">
        <v>2.548495</v>
      </c>
      <c r="R145" s="14">
        <v>0.109502</v>
      </c>
      <c r="S145" s="12">
        <v>2.0</v>
      </c>
      <c r="T145" s="12" t="s">
        <v>28</v>
      </c>
      <c r="U145" s="12" t="s">
        <v>86</v>
      </c>
      <c r="V145" s="12" t="str">
        <f t="shared" si="47"/>
        <v>Cruz Alberto Rodríguez Garcíapara 5 yardas, 3er down</v>
      </c>
      <c r="W145" s="10">
        <v>23.0</v>
      </c>
      <c r="X145" s="10">
        <v>33.0</v>
      </c>
    </row>
    <row r="146">
      <c r="A146" s="11">
        <v>4.0</v>
      </c>
      <c r="B146" s="12" t="s">
        <v>26</v>
      </c>
      <c r="C146" s="12" t="s">
        <v>27</v>
      </c>
      <c r="D146" s="12" t="s">
        <v>27</v>
      </c>
      <c r="E146" s="12" t="s">
        <v>26</v>
      </c>
      <c r="F146" s="12" t="s">
        <v>27</v>
      </c>
      <c r="G146" s="12" t="s">
        <v>27</v>
      </c>
      <c r="H146" s="12" t="s">
        <v>106</v>
      </c>
      <c r="I146" s="12" t="s">
        <v>69</v>
      </c>
      <c r="J146" s="12">
        <f t="shared" si="48"/>
        <v>2</v>
      </c>
      <c r="K146" s="12">
        <v>-44.0</v>
      </c>
      <c r="L146" s="12">
        <v>-49.0</v>
      </c>
      <c r="M146" s="12">
        <v>-5.0</v>
      </c>
      <c r="N146" s="12" t="s">
        <v>64</v>
      </c>
      <c r="O146" s="12">
        <f t="shared" si="11"/>
        <v>7</v>
      </c>
      <c r="P146" s="14">
        <v>2.548495</v>
      </c>
      <c r="Q146" s="14">
        <v>1.68375</v>
      </c>
      <c r="R146" s="14">
        <v>-0.86474</v>
      </c>
      <c r="S146" s="12" t="s">
        <v>27</v>
      </c>
      <c r="T146" s="12" t="s">
        <v>27</v>
      </c>
      <c r="U146" s="12" t="s">
        <v>27</v>
      </c>
      <c r="V146" s="12" t="str">
        <f>H146 &amp; ", " &amp; M146 &amp; " yardas"</f>
        <v>Castigo a la ofensiva, -5 yardas</v>
      </c>
      <c r="W146" s="10">
        <v>23.0</v>
      </c>
      <c r="X146" s="10">
        <v>33.0</v>
      </c>
    </row>
    <row r="147">
      <c r="A147" s="11">
        <v>4.0</v>
      </c>
      <c r="B147" s="12" t="s">
        <v>26</v>
      </c>
      <c r="C147" s="12">
        <v>10.0</v>
      </c>
      <c r="D147" s="11" t="s">
        <v>34</v>
      </c>
      <c r="E147" s="12" t="s">
        <v>28</v>
      </c>
      <c r="F147" s="12">
        <v>7.0</v>
      </c>
      <c r="G147" s="12" t="s">
        <v>231</v>
      </c>
      <c r="H147" s="12" t="s">
        <v>68</v>
      </c>
      <c r="I147" s="12" t="s">
        <v>69</v>
      </c>
      <c r="J147" s="12">
        <f t="shared" si="48"/>
        <v>7</v>
      </c>
      <c r="K147" s="12">
        <v>-49.0</v>
      </c>
      <c r="L147" s="12">
        <v>49.0</v>
      </c>
      <c r="M147" s="12">
        <v>-2.0</v>
      </c>
      <c r="N147" s="12" t="s">
        <v>70</v>
      </c>
      <c r="O147" s="12">
        <f t="shared" si="11"/>
        <v>9</v>
      </c>
      <c r="P147" s="14">
        <v>1.68375</v>
      </c>
      <c r="Q147" s="14">
        <v>-0.00828</v>
      </c>
      <c r="R147" s="14">
        <v>-1.69203</v>
      </c>
      <c r="S147" s="12" t="s">
        <v>27</v>
      </c>
      <c r="T147" s="12" t="s">
        <v>27</v>
      </c>
      <c r="U147" s="12" t="s">
        <v>27</v>
      </c>
      <c r="V147" s="12" t="str">
        <f>D147 &amp; "capturado por " &amp; G147</f>
        <v>Sergio Resendiz capturado por Mikel Exal Delgado Saenz</v>
      </c>
      <c r="W147" s="10">
        <v>23.0</v>
      </c>
      <c r="X147" s="10">
        <v>33.0</v>
      </c>
    </row>
    <row r="148">
      <c r="A148" s="11">
        <v>4.0</v>
      </c>
      <c r="B148" s="12" t="s">
        <v>26</v>
      </c>
      <c r="C148" s="12">
        <v>8.0</v>
      </c>
      <c r="D148" s="12" t="s">
        <v>233</v>
      </c>
      <c r="E148" s="12" t="s">
        <v>26</v>
      </c>
      <c r="F148" s="12">
        <v>8.0</v>
      </c>
      <c r="G148" s="11" t="s">
        <v>119</v>
      </c>
      <c r="H148" s="12" t="s">
        <v>38</v>
      </c>
      <c r="I148" s="12" t="s">
        <v>74</v>
      </c>
      <c r="J148" s="12">
        <f t="shared" si="48"/>
        <v>9</v>
      </c>
      <c r="K148" s="12">
        <v>49.0</v>
      </c>
      <c r="L148" s="12">
        <v>-45.0</v>
      </c>
      <c r="M148" s="12">
        <v>6.0</v>
      </c>
      <c r="N148" s="12" t="s">
        <v>194</v>
      </c>
      <c r="O148" s="12">
        <f t="shared" si="11"/>
        <v>10</v>
      </c>
      <c r="P148" s="14">
        <v>-0.00828</v>
      </c>
      <c r="Q148" s="14">
        <v>-2.387414</v>
      </c>
      <c r="R148" s="14">
        <f>Q148-P148</f>
        <v>-2.379134</v>
      </c>
      <c r="S148" s="12">
        <v>48.0</v>
      </c>
      <c r="T148" s="12" t="s">
        <v>28</v>
      </c>
      <c r="U148" s="12" t="s">
        <v>234</v>
      </c>
      <c r="V148" s="12" t="str">
        <f>G148 &amp; "para " &amp; M148 &amp; " yardas, " &amp; N148</f>
        <v>Luis Ángel Olvera para 6 yardas, Cambio posesión</v>
      </c>
      <c r="W148" s="10">
        <v>23.0</v>
      </c>
      <c r="X148" s="10">
        <v>33.0</v>
      </c>
    </row>
    <row r="149">
      <c r="A149" s="11">
        <v>4.0</v>
      </c>
      <c r="B149" s="12" t="s">
        <v>28</v>
      </c>
      <c r="C149" s="12" t="s">
        <v>27</v>
      </c>
      <c r="D149" s="12" t="s">
        <v>27</v>
      </c>
      <c r="E149" s="12" t="s">
        <v>28</v>
      </c>
      <c r="F149" s="12" t="s">
        <v>27</v>
      </c>
      <c r="G149" s="12" t="s">
        <v>27</v>
      </c>
      <c r="H149" s="12" t="s">
        <v>106</v>
      </c>
      <c r="I149" s="12" t="s">
        <v>39</v>
      </c>
      <c r="J149" s="10">
        <v>10.0</v>
      </c>
      <c r="K149" s="12">
        <v>45.0</v>
      </c>
      <c r="L149" s="12">
        <v>40.0</v>
      </c>
      <c r="M149" s="12">
        <v>-5.0</v>
      </c>
      <c r="N149" s="12" t="s">
        <v>48</v>
      </c>
      <c r="O149" s="12">
        <f t="shared" si="11"/>
        <v>15</v>
      </c>
      <c r="P149" s="14">
        <v>2.387414</v>
      </c>
      <c r="Q149" s="14">
        <v>1.889241</v>
      </c>
      <c r="R149" s="14">
        <v>-0.49817</v>
      </c>
      <c r="S149" s="12" t="s">
        <v>27</v>
      </c>
      <c r="T149" s="12" t="s">
        <v>27</v>
      </c>
      <c r="U149" s="12" t="s">
        <v>27</v>
      </c>
      <c r="V149" s="12" t="str">
        <f t="shared" ref="V149:V150" si="49">H149 &amp; ", " &amp; M149 &amp; " yardas"</f>
        <v>Castigo a la ofensiva, -5 yardas</v>
      </c>
      <c r="W149" s="10">
        <v>23.0</v>
      </c>
      <c r="X149" s="10">
        <v>33.0</v>
      </c>
    </row>
    <row r="150">
      <c r="A150" s="11">
        <v>4.0</v>
      </c>
      <c r="B150" s="12" t="s">
        <v>28</v>
      </c>
      <c r="C150" s="12" t="s">
        <v>27</v>
      </c>
      <c r="D150" s="12" t="s">
        <v>27</v>
      </c>
      <c r="E150" s="12" t="s">
        <v>28</v>
      </c>
      <c r="F150" s="12" t="s">
        <v>27</v>
      </c>
      <c r="G150" s="12" t="s">
        <v>27</v>
      </c>
      <c r="H150" s="12" t="s">
        <v>106</v>
      </c>
      <c r="I150" s="12" t="s">
        <v>39</v>
      </c>
      <c r="J150" s="12">
        <f t="shared" ref="J150:J154" si="50">J149-M149</f>
        <v>15</v>
      </c>
      <c r="K150" s="12">
        <v>40.0</v>
      </c>
      <c r="L150" s="12">
        <v>35.0</v>
      </c>
      <c r="M150" s="12">
        <v>-5.0</v>
      </c>
      <c r="N150" s="12" t="s">
        <v>48</v>
      </c>
      <c r="O150" s="12">
        <f t="shared" si="11"/>
        <v>20</v>
      </c>
      <c r="P150" s="14">
        <v>1.889241</v>
      </c>
      <c r="Q150" s="14">
        <v>1.413456</v>
      </c>
      <c r="R150" s="14">
        <v>-0.47578</v>
      </c>
      <c r="S150" s="12" t="s">
        <v>27</v>
      </c>
      <c r="T150" s="12" t="s">
        <v>27</v>
      </c>
      <c r="U150" s="12" t="s">
        <v>27</v>
      </c>
      <c r="V150" s="12" t="str">
        <f t="shared" si="49"/>
        <v>Castigo a la ofensiva, -5 yardas</v>
      </c>
      <c r="W150" s="10">
        <v>23.0</v>
      </c>
      <c r="X150" s="10">
        <v>33.0</v>
      </c>
    </row>
    <row r="151">
      <c r="A151" s="11">
        <v>4.0</v>
      </c>
      <c r="B151" s="12" t="s">
        <v>28</v>
      </c>
      <c r="C151" s="12">
        <v>15.0</v>
      </c>
      <c r="D151" s="11" t="s">
        <v>51</v>
      </c>
      <c r="E151" s="12" t="s">
        <v>28</v>
      </c>
      <c r="F151" s="12">
        <v>4.0</v>
      </c>
      <c r="G151" s="11" t="s">
        <v>52</v>
      </c>
      <c r="H151" s="12" t="s">
        <v>117</v>
      </c>
      <c r="I151" s="12" t="s">
        <v>39</v>
      </c>
      <c r="J151" s="12">
        <f t="shared" si="50"/>
        <v>20</v>
      </c>
      <c r="K151" s="12">
        <v>35.0</v>
      </c>
      <c r="L151" s="12">
        <v>35.0</v>
      </c>
      <c r="M151" s="12">
        <v>0.0</v>
      </c>
      <c r="N151" s="12" t="s">
        <v>54</v>
      </c>
      <c r="O151" s="12">
        <f t="shared" si="11"/>
        <v>20</v>
      </c>
      <c r="P151" s="14">
        <v>1.413456</v>
      </c>
      <c r="Q151" s="14">
        <v>0.799963</v>
      </c>
      <c r="R151" s="14">
        <v>-0.61349</v>
      </c>
      <c r="S151" s="12" t="s">
        <v>27</v>
      </c>
      <c r="T151" s="12" t="s">
        <v>27</v>
      </c>
      <c r="U151" s="12" t="s">
        <v>27</v>
      </c>
      <c r="V151" s="12" t="str">
        <f>D151 &amp; H151 &amp; " intencionado para " &amp; G151</f>
        <v>Fernando Sarabia Pase incompleto intencionado para Víctor Palacios </v>
      </c>
      <c r="W151" s="10">
        <v>23.0</v>
      </c>
      <c r="X151" s="10">
        <v>33.0</v>
      </c>
    </row>
    <row r="152">
      <c r="A152" s="11">
        <v>4.0</v>
      </c>
      <c r="B152" s="12" t="s">
        <v>28</v>
      </c>
      <c r="C152" s="12">
        <v>15.0</v>
      </c>
      <c r="D152" s="11" t="s">
        <v>51</v>
      </c>
      <c r="E152" s="12" t="s">
        <v>28</v>
      </c>
      <c r="F152" s="12">
        <v>15.0</v>
      </c>
      <c r="G152" s="11" t="s">
        <v>51</v>
      </c>
      <c r="H152" s="12" t="s">
        <v>38</v>
      </c>
      <c r="I152" s="12" t="s">
        <v>58</v>
      </c>
      <c r="J152" s="12">
        <f t="shared" si="50"/>
        <v>20</v>
      </c>
      <c r="K152" s="12">
        <v>35.0</v>
      </c>
      <c r="L152" s="12">
        <v>47.0</v>
      </c>
      <c r="M152" s="12">
        <v>12.0</v>
      </c>
      <c r="N152" s="12" t="s">
        <v>64</v>
      </c>
      <c r="O152" s="12">
        <f t="shared" si="11"/>
        <v>8</v>
      </c>
      <c r="P152" s="14">
        <v>0.799963</v>
      </c>
      <c r="Q152" s="14">
        <v>1.345909</v>
      </c>
      <c r="R152" s="14">
        <v>0.545945</v>
      </c>
      <c r="S152" s="12">
        <v>43.0</v>
      </c>
      <c r="T152" s="12" t="s">
        <v>26</v>
      </c>
      <c r="U152" s="12" t="s">
        <v>236</v>
      </c>
      <c r="V152" s="12" t="str">
        <f>G152 &amp; "para " &amp; M152 &amp; " yardas, " &amp; N152</f>
        <v>Fernando Sarabia para 12 yardas, 3er down</v>
      </c>
      <c r="W152" s="10">
        <v>23.0</v>
      </c>
      <c r="X152" s="10">
        <v>33.0</v>
      </c>
    </row>
    <row r="153">
      <c r="A153" s="11">
        <v>4.0</v>
      </c>
      <c r="B153" s="12" t="s">
        <v>28</v>
      </c>
      <c r="C153" s="12">
        <v>15.0</v>
      </c>
      <c r="D153" s="11" t="s">
        <v>51</v>
      </c>
      <c r="E153" s="12" t="s">
        <v>26</v>
      </c>
      <c r="F153" s="12">
        <v>35.0</v>
      </c>
      <c r="G153" s="12" t="s">
        <v>55</v>
      </c>
      <c r="H153" s="12" t="s">
        <v>68</v>
      </c>
      <c r="I153" s="12" t="s">
        <v>69</v>
      </c>
      <c r="J153" s="12">
        <f t="shared" si="50"/>
        <v>8</v>
      </c>
      <c r="K153" s="12">
        <v>47.0</v>
      </c>
      <c r="L153" s="12">
        <v>43.0</v>
      </c>
      <c r="M153" s="12">
        <v>-4.0</v>
      </c>
      <c r="N153" s="12" t="s">
        <v>70</v>
      </c>
      <c r="O153" s="12">
        <f t="shared" si="11"/>
        <v>12</v>
      </c>
      <c r="P153" s="14">
        <v>1.345909</v>
      </c>
      <c r="Q153" s="14">
        <v>-0.56666</v>
      </c>
      <c r="R153" s="14">
        <v>-1.91257</v>
      </c>
      <c r="S153" s="12" t="s">
        <v>27</v>
      </c>
      <c r="T153" s="12" t="s">
        <v>27</v>
      </c>
      <c r="U153" s="12" t="s">
        <v>27</v>
      </c>
      <c r="V153" s="12" t="str">
        <f>D153 &amp; "capturado por " &amp; G153</f>
        <v>Fernando Sarabia capturado por Juan Pablo Mandujano Castruita</v>
      </c>
      <c r="W153" s="10">
        <v>23.0</v>
      </c>
      <c r="X153" s="10">
        <v>33.0</v>
      </c>
    </row>
    <row r="154">
      <c r="A154" s="11">
        <v>4.0</v>
      </c>
      <c r="B154" s="12" t="s">
        <v>28</v>
      </c>
      <c r="C154" s="12">
        <v>15.0</v>
      </c>
      <c r="D154" s="11" t="s">
        <v>51</v>
      </c>
      <c r="E154" s="12" t="s">
        <v>28</v>
      </c>
      <c r="F154" s="12">
        <v>11.0</v>
      </c>
      <c r="G154" s="12" t="s">
        <v>110</v>
      </c>
      <c r="H154" s="12" t="s">
        <v>53</v>
      </c>
      <c r="I154" s="12" t="s">
        <v>74</v>
      </c>
      <c r="J154" s="12">
        <f t="shared" si="50"/>
        <v>12</v>
      </c>
      <c r="K154" s="12">
        <v>43.0</v>
      </c>
      <c r="L154" s="12">
        <v>0.0</v>
      </c>
      <c r="M154" s="12">
        <v>57.0</v>
      </c>
      <c r="N154" s="12" t="s">
        <v>40</v>
      </c>
      <c r="O154" s="12" t="str">
        <f t="shared" si="11"/>
        <v/>
      </c>
      <c r="P154" s="14">
        <v>-0.56666</v>
      </c>
      <c r="Q154" s="14">
        <v>7.0</v>
      </c>
      <c r="R154" s="14">
        <v>7.566657</v>
      </c>
      <c r="S154" s="12" t="s">
        <v>27</v>
      </c>
      <c r="T154" s="12" t="s">
        <v>27</v>
      </c>
      <c r="U154" s="12" t="s">
        <v>27</v>
      </c>
      <c r="V154" s="12" t="str">
        <f>D154 &amp; H154 &amp; " completo para " &amp;G154 &amp; "para " &amp; M154 &amp; " yardas" </f>
        <v>Fernando Sarabia Pase completo para Daniel Santos Guerrapara 57 yardas</v>
      </c>
      <c r="W154" s="10">
        <v>29.0</v>
      </c>
      <c r="X154" s="10">
        <v>33.0</v>
      </c>
    </row>
    <row r="155">
      <c r="A155" s="11">
        <v>4.0</v>
      </c>
      <c r="B155" s="12" t="s">
        <v>28</v>
      </c>
      <c r="C155" s="12" t="s">
        <v>27</v>
      </c>
      <c r="D155" s="12" t="s">
        <v>27</v>
      </c>
      <c r="E155" s="12" t="s">
        <v>28</v>
      </c>
      <c r="F155" s="12">
        <v>28.0</v>
      </c>
      <c r="G155" s="11" t="s">
        <v>29</v>
      </c>
      <c r="H155" s="12" t="s">
        <v>43</v>
      </c>
      <c r="I155" s="12" t="s">
        <v>27</v>
      </c>
      <c r="J155" s="12"/>
      <c r="K155" s="12">
        <v>-10.0</v>
      </c>
      <c r="L155" s="12">
        <v>0.0</v>
      </c>
      <c r="M155" s="12">
        <v>20.0</v>
      </c>
      <c r="N155" s="12" t="s">
        <v>146</v>
      </c>
      <c r="O155" s="12" t="str">
        <f t="shared" si="11"/>
        <v/>
      </c>
      <c r="P155" s="15"/>
      <c r="Q155" s="15"/>
      <c r="R155" s="14">
        <v>0.0</v>
      </c>
      <c r="S155" s="12" t="s">
        <v>27</v>
      </c>
      <c r="T155" s="12" t="s">
        <v>27</v>
      </c>
      <c r="U155" s="12" t="s">
        <v>27</v>
      </c>
      <c r="V155" s="12" t="str">
        <f>G155 &amp; " " &amp; N155</f>
        <v>Roberto Medina PAT exitosa</v>
      </c>
      <c r="W155" s="10">
        <v>30.0</v>
      </c>
      <c r="X155" s="10">
        <v>33.0</v>
      </c>
    </row>
    <row r="156">
      <c r="A156" s="11">
        <v>4.0</v>
      </c>
      <c r="B156" s="12" t="s">
        <v>28</v>
      </c>
      <c r="C156" s="12" t="s">
        <v>27</v>
      </c>
      <c r="D156" s="12" t="s">
        <v>27</v>
      </c>
      <c r="E156" s="12" t="s">
        <v>28</v>
      </c>
      <c r="F156" s="12">
        <v>28.0</v>
      </c>
      <c r="G156" s="11" t="s">
        <v>29</v>
      </c>
      <c r="H156" s="12" t="s">
        <v>31</v>
      </c>
      <c r="I156" s="12" t="s">
        <v>27</v>
      </c>
      <c r="J156" s="12"/>
      <c r="K156" s="12">
        <v>35.0</v>
      </c>
      <c r="L156" s="12">
        <v>0.0</v>
      </c>
      <c r="M156" s="12">
        <v>65.0</v>
      </c>
      <c r="N156" s="12" t="s">
        <v>32</v>
      </c>
      <c r="O156" s="12">
        <f t="shared" si="11"/>
        <v>10</v>
      </c>
      <c r="P156" s="13">
        <v>0.0</v>
      </c>
      <c r="Q156" s="14">
        <v>0.884959</v>
      </c>
      <c r="R156" s="14">
        <f>Q156-P156</f>
        <v>0.884959</v>
      </c>
      <c r="S156" s="12" t="s">
        <v>27</v>
      </c>
      <c r="T156" s="12" t="s">
        <v>27</v>
      </c>
      <c r="U156" s="12" t="s">
        <v>27</v>
      </c>
      <c r="V156" s="12" t="str">
        <f>G156 &amp; " kicks off " &amp; M156 &amp; " yardas, " &amp; N156</f>
        <v>Roberto Medina kicks off 65 yardas, Touchback</v>
      </c>
      <c r="W156" s="10">
        <v>30.0</v>
      </c>
      <c r="X156" s="10">
        <v>33.0</v>
      </c>
    </row>
    <row r="157">
      <c r="A157" s="11">
        <v>4.0</v>
      </c>
      <c r="B157" s="12" t="s">
        <v>26</v>
      </c>
      <c r="C157" s="12">
        <v>10.0</v>
      </c>
      <c r="D157" s="11" t="s">
        <v>34</v>
      </c>
      <c r="E157" s="12" t="s">
        <v>26</v>
      </c>
      <c r="F157" s="12">
        <v>31.0</v>
      </c>
      <c r="G157" s="11" t="s">
        <v>35</v>
      </c>
      <c r="H157" s="12" t="s">
        <v>38</v>
      </c>
      <c r="I157" s="12" t="s">
        <v>39</v>
      </c>
      <c r="J157" s="10">
        <v>10.0</v>
      </c>
      <c r="K157" s="12">
        <v>25.0</v>
      </c>
      <c r="L157" s="12">
        <v>28.0</v>
      </c>
      <c r="M157" s="12">
        <v>3.0</v>
      </c>
      <c r="N157" s="12" t="s">
        <v>54</v>
      </c>
      <c r="O157" s="12">
        <f t="shared" si="11"/>
        <v>7</v>
      </c>
      <c r="P157" s="14">
        <v>0.884959</v>
      </c>
      <c r="Q157" s="14">
        <v>0.664532</v>
      </c>
      <c r="R157" s="14">
        <v>-0.22043</v>
      </c>
      <c r="S157" s="12">
        <v>6.0</v>
      </c>
      <c r="T157" s="12" t="s">
        <v>28</v>
      </c>
      <c r="U157" s="12" t="s">
        <v>227</v>
      </c>
      <c r="V157" s="12" t="str">
        <f t="shared" ref="V157:V159" si="51">G157 &amp; "para " &amp; M157 &amp; " yardas, " &amp; N157</f>
        <v>Ángel Alvarado para 3 yardas, 2do down</v>
      </c>
      <c r="W157" s="10">
        <v>30.0</v>
      </c>
      <c r="X157" s="10">
        <v>33.0</v>
      </c>
    </row>
    <row r="158">
      <c r="A158" s="11">
        <v>4.0</v>
      </c>
      <c r="B158" s="12" t="s">
        <v>26</v>
      </c>
      <c r="C158" s="12">
        <v>10.0</v>
      </c>
      <c r="D158" s="11" t="s">
        <v>34</v>
      </c>
      <c r="E158" s="12" t="s">
        <v>26</v>
      </c>
      <c r="F158" s="12">
        <v>31.0</v>
      </c>
      <c r="G158" s="11" t="s">
        <v>35</v>
      </c>
      <c r="H158" s="12" t="s">
        <v>38</v>
      </c>
      <c r="I158" s="12" t="s">
        <v>58</v>
      </c>
      <c r="J158" s="12">
        <f t="shared" ref="J158:J160" si="52">J157-M157</f>
        <v>7</v>
      </c>
      <c r="K158" s="12">
        <v>28.0</v>
      </c>
      <c r="L158" s="12">
        <v>31.0</v>
      </c>
      <c r="M158" s="12">
        <v>3.0</v>
      </c>
      <c r="N158" s="12" t="s">
        <v>64</v>
      </c>
      <c r="O158" s="12">
        <f t="shared" si="11"/>
        <v>4</v>
      </c>
      <c r="P158" s="14">
        <v>0.664532</v>
      </c>
      <c r="Q158" s="14">
        <v>0.391952</v>
      </c>
      <c r="R158" s="14">
        <v>-0.27258</v>
      </c>
      <c r="S158" s="12">
        <v>72.0</v>
      </c>
      <c r="T158" s="12" t="s">
        <v>28</v>
      </c>
      <c r="U158" s="12" t="s">
        <v>83</v>
      </c>
      <c r="V158" s="12" t="str">
        <f t="shared" si="51"/>
        <v>Ángel Alvarado para 3 yardas, 3er down</v>
      </c>
      <c r="W158" s="10">
        <v>30.0</v>
      </c>
      <c r="X158" s="10">
        <v>33.0</v>
      </c>
    </row>
    <row r="159">
      <c r="A159" s="11">
        <v>4.0</v>
      </c>
      <c r="B159" s="12" t="s">
        <v>26</v>
      </c>
      <c r="C159" s="12">
        <v>10.0</v>
      </c>
      <c r="D159" s="11" t="s">
        <v>34</v>
      </c>
      <c r="E159" s="12" t="s">
        <v>26</v>
      </c>
      <c r="F159" s="12">
        <v>31.0</v>
      </c>
      <c r="G159" s="11" t="s">
        <v>35</v>
      </c>
      <c r="H159" s="12" t="s">
        <v>38</v>
      </c>
      <c r="I159" s="12" t="s">
        <v>69</v>
      </c>
      <c r="J159" s="12">
        <f t="shared" si="52"/>
        <v>4</v>
      </c>
      <c r="K159" s="12">
        <v>31.0</v>
      </c>
      <c r="L159" s="12">
        <v>31.0</v>
      </c>
      <c r="M159" s="12">
        <v>0.0</v>
      </c>
      <c r="N159" s="12" t="s">
        <v>70</v>
      </c>
      <c r="O159" s="12">
        <f t="shared" si="11"/>
        <v>4</v>
      </c>
      <c r="P159" s="14">
        <v>0.391952</v>
      </c>
      <c r="Q159" s="14">
        <v>-1.17145</v>
      </c>
      <c r="R159" s="14">
        <v>-1.56341</v>
      </c>
      <c r="S159" s="12">
        <v>10.0</v>
      </c>
      <c r="T159" s="12" t="s">
        <v>28</v>
      </c>
      <c r="U159" s="12" t="s">
        <v>114</v>
      </c>
      <c r="V159" s="12" t="str">
        <f t="shared" si="51"/>
        <v>Ángel Alvarado para 0 yardas, 4to down</v>
      </c>
      <c r="W159" s="10">
        <v>30.0</v>
      </c>
      <c r="X159" s="10">
        <v>33.0</v>
      </c>
    </row>
    <row r="160">
      <c r="A160" s="11">
        <v>4.0</v>
      </c>
      <c r="B160" s="12" t="s">
        <v>26</v>
      </c>
      <c r="C160" s="12" t="s">
        <v>27</v>
      </c>
      <c r="D160" s="12" t="s">
        <v>27</v>
      </c>
      <c r="E160" s="12" t="s">
        <v>26</v>
      </c>
      <c r="F160" s="12">
        <v>8.0</v>
      </c>
      <c r="G160" s="11" t="s">
        <v>119</v>
      </c>
      <c r="H160" s="12" t="s">
        <v>73</v>
      </c>
      <c r="I160" s="12" t="s">
        <v>74</v>
      </c>
      <c r="J160" s="12">
        <f t="shared" si="52"/>
        <v>4</v>
      </c>
      <c r="K160" s="12">
        <v>18.0</v>
      </c>
      <c r="L160" s="12">
        <v>-32.0</v>
      </c>
      <c r="M160" s="12">
        <v>50.0</v>
      </c>
      <c r="N160" s="12" t="s">
        <v>75</v>
      </c>
      <c r="O160" s="12" t="str">
        <f t="shared" si="11"/>
        <v/>
      </c>
      <c r="P160" s="14">
        <v>-1.17145</v>
      </c>
      <c r="Q160" s="14">
        <v>-2.539039</v>
      </c>
      <c r="R160" s="14">
        <f>Q160-P160</f>
        <v>-1.367589</v>
      </c>
      <c r="S160" s="12" t="s">
        <v>27</v>
      </c>
      <c r="T160" s="12" t="s">
        <v>27</v>
      </c>
      <c r="U160" s="12" t="s">
        <v>27</v>
      </c>
      <c r="V160" s="12" t="str">
        <f>G160 &amp; H160 &amp; " " &amp; M160 &amp; " yardas, " &amp; N160</f>
        <v>Luis Ángel Olvera Punt 50 yardas, Recepción libre</v>
      </c>
      <c r="W160" s="10">
        <v>30.0</v>
      </c>
      <c r="X160" s="10">
        <v>33.0</v>
      </c>
    </row>
    <row r="161">
      <c r="A161" s="11">
        <v>4.0</v>
      </c>
      <c r="B161" s="12" t="s">
        <v>28</v>
      </c>
      <c r="C161" s="12" t="s">
        <v>27</v>
      </c>
      <c r="D161" s="12" t="s">
        <v>27</v>
      </c>
      <c r="E161" s="12" t="s">
        <v>26</v>
      </c>
      <c r="F161" s="12" t="s">
        <v>27</v>
      </c>
      <c r="G161" s="12" t="s">
        <v>27</v>
      </c>
      <c r="H161" s="12" t="s">
        <v>161</v>
      </c>
      <c r="I161" s="12" t="s">
        <v>27</v>
      </c>
      <c r="J161" s="12"/>
      <c r="K161" s="12">
        <v>32.0</v>
      </c>
      <c r="L161" s="12">
        <v>47.0</v>
      </c>
      <c r="M161" s="12">
        <v>15.0</v>
      </c>
      <c r="N161" s="12" t="s">
        <v>48</v>
      </c>
      <c r="O161" s="12">
        <f t="shared" si="11"/>
        <v>10</v>
      </c>
      <c r="P161" s="15"/>
      <c r="Q161" s="15"/>
      <c r="R161" s="14">
        <v>0.0</v>
      </c>
      <c r="S161" s="12" t="s">
        <v>27</v>
      </c>
      <c r="T161" s="12" t="s">
        <v>27</v>
      </c>
      <c r="U161" s="12" t="s">
        <v>27</v>
      </c>
      <c r="V161" s="12" t="str">
        <f>H161 &amp; ", " &amp; M161 &amp; " yardas"</f>
        <v>Castigo a la defensiva, 15 yardas</v>
      </c>
      <c r="W161" s="10">
        <v>30.0</v>
      </c>
      <c r="X161" s="10">
        <v>33.0</v>
      </c>
    </row>
    <row r="162">
      <c r="A162" s="11">
        <v>4.0</v>
      </c>
      <c r="B162" s="12" t="s">
        <v>28</v>
      </c>
      <c r="C162" s="12">
        <v>15.0</v>
      </c>
      <c r="D162" s="11" t="s">
        <v>51</v>
      </c>
      <c r="E162" s="12" t="s">
        <v>28</v>
      </c>
      <c r="F162" s="12">
        <v>23.0</v>
      </c>
      <c r="G162" s="11" t="s">
        <v>61</v>
      </c>
      <c r="H162" s="12" t="s">
        <v>53</v>
      </c>
      <c r="I162" s="12" t="s">
        <v>39</v>
      </c>
      <c r="J162" s="10">
        <v>10.0</v>
      </c>
      <c r="K162" s="12">
        <v>47.0</v>
      </c>
      <c r="L162" s="12">
        <v>-44.0</v>
      </c>
      <c r="M162" s="12">
        <v>9.0</v>
      </c>
      <c r="N162" s="12" t="s">
        <v>54</v>
      </c>
      <c r="O162" s="12">
        <f t="shared" si="11"/>
        <v>1</v>
      </c>
      <c r="P162" s="14">
        <v>2.539039</v>
      </c>
      <c r="Q162" s="14">
        <v>3.497478</v>
      </c>
      <c r="R162" s="14">
        <v>0.958439</v>
      </c>
      <c r="S162" s="12" t="s">
        <v>27</v>
      </c>
      <c r="T162" s="12" t="s">
        <v>27</v>
      </c>
      <c r="U162" s="12" t="s">
        <v>27</v>
      </c>
      <c r="V162" s="12" t="str">
        <f>D162 &amp; H162 &amp; " completo para " &amp;G162 &amp; "para " &amp; M162 &amp; " yardas" </f>
        <v>Fernando Sarabia Pase completo para Alejandro Cruz para 9 yardas</v>
      </c>
      <c r="W162" s="10">
        <v>30.0</v>
      </c>
      <c r="X162" s="10">
        <v>33.0</v>
      </c>
    </row>
    <row r="163">
      <c r="A163" s="11">
        <v>4.0</v>
      </c>
      <c r="B163" s="12" t="s">
        <v>28</v>
      </c>
      <c r="C163" s="12">
        <v>15.0</v>
      </c>
      <c r="D163" s="11" t="s">
        <v>51</v>
      </c>
      <c r="E163" s="12" t="s">
        <v>28</v>
      </c>
      <c r="F163" s="12">
        <v>23.0</v>
      </c>
      <c r="G163" s="11" t="s">
        <v>61</v>
      </c>
      <c r="H163" s="12" t="s">
        <v>38</v>
      </c>
      <c r="I163" s="12" t="s">
        <v>58</v>
      </c>
      <c r="J163" s="12">
        <f>J162-M162</f>
        <v>1</v>
      </c>
      <c r="K163" s="12">
        <v>-44.0</v>
      </c>
      <c r="L163" s="12">
        <v>-42.0</v>
      </c>
      <c r="M163" s="12">
        <v>2.0</v>
      </c>
      <c r="N163" s="12" t="s">
        <v>48</v>
      </c>
      <c r="O163" s="12">
        <f t="shared" si="11"/>
        <v>10</v>
      </c>
      <c r="P163" s="14">
        <v>3.497478</v>
      </c>
      <c r="Q163" s="14">
        <v>3.158878</v>
      </c>
      <c r="R163" s="14">
        <v>-0.3386</v>
      </c>
      <c r="S163" s="12">
        <v>47.0</v>
      </c>
      <c r="T163" s="12" t="s">
        <v>26</v>
      </c>
      <c r="U163" s="12" t="s">
        <v>59</v>
      </c>
      <c r="V163" s="12" t="str">
        <f>G163 &amp; "para " &amp; M163 &amp; " yardas, " &amp; N163</f>
        <v>Alejandro Cruz para 2 yardas, 1er down</v>
      </c>
      <c r="W163" s="10">
        <v>30.0</v>
      </c>
      <c r="X163" s="10">
        <v>33.0</v>
      </c>
    </row>
    <row r="164">
      <c r="A164" s="11">
        <v>4.0</v>
      </c>
      <c r="B164" s="12" t="s">
        <v>28</v>
      </c>
      <c r="C164" s="12">
        <v>15.0</v>
      </c>
      <c r="D164" s="11" t="s">
        <v>51</v>
      </c>
      <c r="E164" s="12" t="s">
        <v>28</v>
      </c>
      <c r="F164" s="12">
        <v>23.0</v>
      </c>
      <c r="G164" s="11" t="s">
        <v>61</v>
      </c>
      <c r="H164" s="12" t="s">
        <v>117</v>
      </c>
      <c r="I164" s="12" t="s">
        <v>39</v>
      </c>
      <c r="J164" s="10">
        <v>10.0</v>
      </c>
      <c r="K164" s="12">
        <v>-42.0</v>
      </c>
      <c r="L164" s="12">
        <v>-42.0</v>
      </c>
      <c r="M164" s="12">
        <v>0.0</v>
      </c>
      <c r="N164" s="12" t="s">
        <v>54</v>
      </c>
      <c r="O164" s="12">
        <f t="shared" si="11"/>
        <v>10</v>
      </c>
      <c r="P164" s="14">
        <v>3.158878</v>
      </c>
      <c r="Q164" s="14">
        <v>2.671807</v>
      </c>
      <c r="R164" s="14">
        <v>-0.48707</v>
      </c>
      <c r="S164" s="12" t="s">
        <v>27</v>
      </c>
      <c r="T164" s="12" t="s">
        <v>27</v>
      </c>
      <c r="U164" s="12" t="s">
        <v>27</v>
      </c>
      <c r="V164" s="12" t="str">
        <f>D164 &amp; H164 &amp; " intencionado para " &amp; G164</f>
        <v>Fernando Sarabia Pase incompleto intencionado para Alejandro Cruz </v>
      </c>
      <c r="W164" s="10">
        <v>30.0</v>
      </c>
      <c r="X164" s="10">
        <v>33.0</v>
      </c>
    </row>
    <row r="165">
      <c r="A165" s="11">
        <v>4.0</v>
      </c>
      <c r="B165" s="12" t="s">
        <v>28</v>
      </c>
      <c r="C165" s="12" t="s">
        <v>27</v>
      </c>
      <c r="D165" s="12" t="s">
        <v>27</v>
      </c>
      <c r="E165" s="12" t="s">
        <v>28</v>
      </c>
      <c r="F165" s="12" t="s">
        <v>27</v>
      </c>
      <c r="G165" s="12" t="s">
        <v>27</v>
      </c>
      <c r="H165" s="12" t="s">
        <v>106</v>
      </c>
      <c r="I165" s="12" t="s">
        <v>58</v>
      </c>
      <c r="J165" s="12">
        <f t="shared" ref="J165:J166" si="53">J164-M164</f>
        <v>10</v>
      </c>
      <c r="K165" s="12">
        <v>-42.0</v>
      </c>
      <c r="L165" s="12">
        <v>48.0</v>
      </c>
      <c r="M165" s="12">
        <v>-10.0</v>
      </c>
      <c r="N165" s="12" t="s">
        <v>54</v>
      </c>
      <c r="O165" s="12">
        <f t="shared" si="11"/>
        <v>20</v>
      </c>
      <c r="P165" s="14">
        <v>2.671807</v>
      </c>
      <c r="Q165" s="14">
        <v>1.733131</v>
      </c>
      <c r="R165" s="14">
        <v>-0.93868</v>
      </c>
      <c r="S165" s="12" t="s">
        <v>27</v>
      </c>
      <c r="T165" s="12" t="s">
        <v>27</v>
      </c>
      <c r="U165" s="12" t="s">
        <v>27</v>
      </c>
      <c r="V165" s="12" t="str">
        <f>H165 &amp; ", " &amp; M165 &amp; " yardas"</f>
        <v>Castigo a la ofensiva, -10 yardas</v>
      </c>
      <c r="W165" s="10">
        <v>30.0</v>
      </c>
      <c r="X165" s="10">
        <v>33.0</v>
      </c>
    </row>
    <row r="166">
      <c r="A166" s="11">
        <v>4.0</v>
      </c>
      <c r="B166" s="12" t="s">
        <v>28</v>
      </c>
      <c r="C166" s="12">
        <v>15.0</v>
      </c>
      <c r="D166" s="11" t="s">
        <v>51</v>
      </c>
      <c r="E166" s="12" t="s">
        <v>28</v>
      </c>
      <c r="F166" s="12">
        <v>82.0</v>
      </c>
      <c r="G166" s="11" t="s">
        <v>102</v>
      </c>
      <c r="H166" s="12" t="s">
        <v>53</v>
      </c>
      <c r="I166" s="12" t="s">
        <v>58</v>
      </c>
      <c r="J166" s="12">
        <f t="shared" si="53"/>
        <v>20</v>
      </c>
      <c r="K166" s="12">
        <v>48.0</v>
      </c>
      <c r="L166" s="12">
        <v>-26.0</v>
      </c>
      <c r="M166" s="12">
        <v>26.0</v>
      </c>
      <c r="N166" s="12" t="s">
        <v>48</v>
      </c>
      <c r="O166" s="12">
        <f t="shared" si="11"/>
        <v>10</v>
      </c>
      <c r="P166" s="14">
        <v>1.733131</v>
      </c>
      <c r="Q166" s="14">
        <v>3.8984</v>
      </c>
      <c r="R166" s="14">
        <v>2.165269</v>
      </c>
      <c r="S166" s="12">
        <v>4.0</v>
      </c>
      <c r="T166" s="12" t="s">
        <v>26</v>
      </c>
      <c r="U166" s="12" t="s">
        <v>243</v>
      </c>
      <c r="V166" s="12" t="str">
        <f t="shared" ref="V166:V167" si="54">D166 &amp; H166 &amp; " completo para " &amp;G166 &amp; "para " &amp; M166 &amp; " yardas" </f>
        <v>Fernando Sarabia Pase completo para Mauricio Santos para 26 yardas</v>
      </c>
      <c r="W166" s="10">
        <v>30.0</v>
      </c>
      <c r="X166" s="10">
        <v>33.0</v>
      </c>
    </row>
    <row r="167">
      <c r="A167" s="11">
        <v>4.0</v>
      </c>
      <c r="B167" s="12" t="s">
        <v>28</v>
      </c>
      <c r="C167" s="12">
        <v>15.0</v>
      </c>
      <c r="D167" s="11" t="s">
        <v>51</v>
      </c>
      <c r="E167" s="12" t="s">
        <v>28</v>
      </c>
      <c r="F167" s="12">
        <v>4.0</v>
      </c>
      <c r="G167" s="11" t="s">
        <v>52</v>
      </c>
      <c r="H167" s="12" t="s">
        <v>53</v>
      </c>
      <c r="I167" s="12" t="s">
        <v>39</v>
      </c>
      <c r="J167" s="10">
        <v>10.0</v>
      </c>
      <c r="K167" s="12">
        <v>-26.0</v>
      </c>
      <c r="L167" s="12">
        <v>-29.0</v>
      </c>
      <c r="M167" s="12">
        <v>-3.0</v>
      </c>
      <c r="N167" s="12" t="s">
        <v>54</v>
      </c>
      <c r="O167" s="12">
        <f t="shared" si="11"/>
        <v>13</v>
      </c>
      <c r="P167" s="14">
        <v>3.8984</v>
      </c>
      <c r="Q167" s="14">
        <v>3.41431</v>
      </c>
      <c r="R167" s="14">
        <v>-0.48409</v>
      </c>
      <c r="S167" s="12">
        <v>35.0</v>
      </c>
      <c r="T167" s="12" t="s">
        <v>26</v>
      </c>
      <c r="U167" s="12" t="s">
        <v>55</v>
      </c>
      <c r="V167" s="12" t="str">
        <f t="shared" si="54"/>
        <v>Fernando Sarabia Pase completo para Víctor Palacios para -3 yardas</v>
      </c>
      <c r="W167" s="10">
        <v>30.0</v>
      </c>
      <c r="X167" s="10">
        <v>33.0</v>
      </c>
    </row>
    <row r="168">
      <c r="A168" s="11">
        <v>4.0</v>
      </c>
      <c r="B168" s="12" t="s">
        <v>28</v>
      </c>
      <c r="C168" s="12">
        <v>15.0</v>
      </c>
      <c r="D168" s="11" t="s">
        <v>51</v>
      </c>
      <c r="E168" s="12" t="s">
        <v>26</v>
      </c>
      <c r="F168" s="12">
        <v>54.0</v>
      </c>
      <c r="G168" s="12" t="s">
        <v>246</v>
      </c>
      <c r="H168" s="12" t="s">
        <v>68</v>
      </c>
      <c r="I168" s="12" t="s">
        <v>58</v>
      </c>
      <c r="J168" s="12">
        <f t="shared" ref="J168:J170" si="55">J167-M167</f>
        <v>13</v>
      </c>
      <c r="K168" s="12">
        <v>-29.0</v>
      </c>
      <c r="L168" s="12">
        <v>-39.0</v>
      </c>
      <c r="M168" s="12">
        <v>-10.0</v>
      </c>
      <c r="N168" s="12" t="s">
        <v>64</v>
      </c>
      <c r="O168" s="12">
        <f t="shared" si="11"/>
        <v>23</v>
      </c>
      <c r="P168" s="14">
        <v>3.41431</v>
      </c>
      <c r="Q168" s="14">
        <v>1.705066</v>
      </c>
      <c r="R168" s="14">
        <v>-1.70924</v>
      </c>
      <c r="S168" s="12" t="s">
        <v>27</v>
      </c>
      <c r="T168" s="12" t="s">
        <v>27</v>
      </c>
      <c r="U168" s="12" t="s">
        <v>27</v>
      </c>
      <c r="V168" s="12" t="str">
        <f>D168 &amp; "capturado por " &amp; G168</f>
        <v>Fernando Sarabia capturado por Pablo Treviño Alvarado</v>
      </c>
      <c r="W168" s="10">
        <v>30.0</v>
      </c>
      <c r="X168" s="10">
        <v>33.0</v>
      </c>
    </row>
    <row r="169">
      <c r="A169" s="11">
        <v>4.0</v>
      </c>
      <c r="B169" s="12" t="s">
        <v>28</v>
      </c>
      <c r="C169" s="12">
        <v>15.0</v>
      </c>
      <c r="D169" s="11" t="s">
        <v>51</v>
      </c>
      <c r="E169" s="12" t="s">
        <v>28</v>
      </c>
      <c r="F169" s="12" t="s">
        <v>27</v>
      </c>
      <c r="G169" s="12" t="s">
        <v>27</v>
      </c>
      <c r="H169" s="12" t="s">
        <v>117</v>
      </c>
      <c r="I169" s="12" t="s">
        <v>69</v>
      </c>
      <c r="J169" s="12">
        <f t="shared" si="55"/>
        <v>23</v>
      </c>
      <c r="K169" s="12">
        <v>-39.0</v>
      </c>
      <c r="L169" s="12">
        <v>-39.0</v>
      </c>
      <c r="M169" s="12">
        <v>0.0</v>
      </c>
      <c r="N169" s="12" t="s">
        <v>70</v>
      </c>
      <c r="O169" s="12">
        <f t="shared" si="11"/>
        <v>23</v>
      </c>
      <c r="P169" s="14">
        <v>1.705066</v>
      </c>
      <c r="Q169" s="14">
        <v>0.987871</v>
      </c>
      <c r="R169" s="14">
        <v>-0.71719</v>
      </c>
      <c r="S169" s="12" t="s">
        <v>27</v>
      </c>
      <c r="T169" s="12" t="s">
        <v>27</v>
      </c>
      <c r="U169" s="12" t="s">
        <v>27</v>
      </c>
      <c r="V169" s="12" t="str">
        <f>D169 &amp; H169</f>
        <v>Fernando Sarabia Pase incompleto</v>
      </c>
      <c r="W169" s="10">
        <v>30.0</v>
      </c>
      <c r="X169" s="10">
        <v>33.0</v>
      </c>
    </row>
    <row r="170">
      <c r="A170" s="11">
        <v>4.0</v>
      </c>
      <c r="B170" s="12" t="s">
        <v>28</v>
      </c>
      <c r="C170" s="12" t="s">
        <v>27</v>
      </c>
      <c r="D170" s="12" t="s">
        <v>27</v>
      </c>
      <c r="E170" s="12" t="s">
        <v>28</v>
      </c>
      <c r="F170" s="12">
        <v>28.0</v>
      </c>
      <c r="G170" s="10" t="s">
        <v>176</v>
      </c>
      <c r="H170" s="12" t="s">
        <v>94</v>
      </c>
      <c r="I170" s="12" t="s">
        <v>74</v>
      </c>
      <c r="J170" s="12">
        <f t="shared" si="55"/>
        <v>23</v>
      </c>
      <c r="K170" s="12">
        <v>-46.0</v>
      </c>
      <c r="L170" s="12">
        <v>0.0</v>
      </c>
      <c r="M170" s="12">
        <v>46.0</v>
      </c>
      <c r="N170" s="10" t="s">
        <v>249</v>
      </c>
      <c r="O170" s="12">
        <f t="shared" si="11"/>
        <v>10</v>
      </c>
      <c r="P170" s="14">
        <v>0.987871</v>
      </c>
      <c r="Q170" s="14">
        <v>-1.990539</v>
      </c>
      <c r="R170" s="14">
        <f>Q170-P170</f>
        <v>-2.97841</v>
      </c>
      <c r="S170" s="12" t="s">
        <v>27</v>
      </c>
      <c r="T170" s="12" t="s">
        <v>27</v>
      </c>
      <c r="U170" s="12" t="s">
        <v>27</v>
      </c>
      <c r="V170" s="12" t="str">
        <f>G170 &amp; N170</f>
        <v>Roberto Medina FG fallado</v>
      </c>
      <c r="W170" s="10">
        <v>30.0</v>
      </c>
      <c r="X170" s="10">
        <v>33.0</v>
      </c>
    </row>
    <row r="171">
      <c r="A171" s="11">
        <v>4.0</v>
      </c>
      <c r="B171" s="12" t="s">
        <v>26</v>
      </c>
      <c r="C171" s="12" t="s">
        <v>27</v>
      </c>
      <c r="D171" s="12" t="s">
        <v>27</v>
      </c>
      <c r="E171" s="12" t="s">
        <v>26</v>
      </c>
      <c r="F171" s="12" t="s">
        <v>27</v>
      </c>
      <c r="G171" s="12" t="s">
        <v>27</v>
      </c>
      <c r="H171" s="12" t="s">
        <v>106</v>
      </c>
      <c r="I171" s="12" t="s">
        <v>39</v>
      </c>
      <c r="J171" s="10">
        <v>10.0</v>
      </c>
      <c r="K171" s="12">
        <v>39.0</v>
      </c>
      <c r="L171" s="12">
        <v>24.0</v>
      </c>
      <c r="M171" s="12">
        <v>-15.0</v>
      </c>
      <c r="N171" s="12" t="s">
        <v>48</v>
      </c>
      <c r="O171" s="12">
        <f t="shared" si="11"/>
        <v>10</v>
      </c>
      <c r="P171" s="14">
        <v>1.990539</v>
      </c>
      <c r="Q171" s="14">
        <v>0.806996</v>
      </c>
      <c r="R171" s="14">
        <v>-1.18354</v>
      </c>
      <c r="S171" s="12" t="s">
        <v>27</v>
      </c>
      <c r="T171" s="12" t="s">
        <v>27</v>
      </c>
      <c r="U171" s="12" t="s">
        <v>27</v>
      </c>
      <c r="V171" s="12" t="str">
        <f>H171 &amp; ", " &amp; M171 &amp; " yardas"</f>
        <v>Castigo a la ofensiva, -15 yardas</v>
      </c>
      <c r="W171" s="10">
        <v>30.0</v>
      </c>
      <c r="X171" s="10">
        <v>33.0</v>
      </c>
    </row>
    <row r="172">
      <c r="A172" s="11">
        <v>4.0</v>
      </c>
      <c r="B172" s="12" t="s">
        <v>26</v>
      </c>
      <c r="C172" s="12">
        <v>10.0</v>
      </c>
      <c r="D172" s="11" t="s">
        <v>34</v>
      </c>
      <c r="E172" s="12" t="s">
        <v>26</v>
      </c>
      <c r="F172" s="12">
        <v>10.0</v>
      </c>
      <c r="G172" s="11" t="s">
        <v>34</v>
      </c>
      <c r="H172" s="12" t="s">
        <v>251</v>
      </c>
      <c r="I172" s="12" t="s">
        <v>39</v>
      </c>
      <c r="J172" s="10">
        <v>10.0</v>
      </c>
      <c r="K172" s="12">
        <v>24.0</v>
      </c>
      <c r="L172" s="12">
        <v>24.0</v>
      </c>
      <c r="M172" s="12">
        <v>0.0</v>
      </c>
      <c r="N172" s="12" t="s">
        <v>54</v>
      </c>
      <c r="O172" s="12">
        <f t="shared" si="11"/>
        <v>10</v>
      </c>
      <c r="P172" s="14">
        <v>0.806996</v>
      </c>
      <c r="Q172" s="14">
        <v>0.171867</v>
      </c>
      <c r="R172" s="14">
        <v>-0.63513</v>
      </c>
      <c r="S172" s="12" t="s">
        <v>27</v>
      </c>
      <c r="T172" s="12" t="s">
        <v>27</v>
      </c>
      <c r="U172" s="12" t="s">
        <v>27</v>
      </c>
      <c r="V172" s="12" t="str">
        <f>G172 &amp; H172</f>
        <v>Sergio Resendiz Rodilla en el Piso</v>
      </c>
      <c r="W172" s="10">
        <v>30.0</v>
      </c>
      <c r="X172" s="10">
        <v>33.0</v>
      </c>
    </row>
    <row r="173">
      <c r="A173" s="11">
        <v>4.0</v>
      </c>
      <c r="B173" s="12" t="s">
        <v>26</v>
      </c>
      <c r="C173" s="12">
        <v>10.0</v>
      </c>
      <c r="D173" s="11" t="s">
        <v>34</v>
      </c>
      <c r="E173" s="12" t="s">
        <v>26</v>
      </c>
      <c r="F173" s="12">
        <v>10.0</v>
      </c>
      <c r="G173" s="11" t="s">
        <v>34</v>
      </c>
      <c r="H173" s="12" t="s">
        <v>251</v>
      </c>
      <c r="I173" s="12" t="s">
        <v>58</v>
      </c>
      <c r="J173" s="12">
        <f>J172-M172</f>
        <v>10</v>
      </c>
      <c r="K173" s="12">
        <v>24.0</v>
      </c>
      <c r="L173" s="12">
        <v>24.0</v>
      </c>
      <c r="M173" s="12">
        <v>0.0</v>
      </c>
      <c r="N173" s="12" t="s">
        <v>253</v>
      </c>
      <c r="O173" s="12" t="str">
        <f t="shared" si="11"/>
        <v/>
      </c>
      <c r="P173" s="15"/>
      <c r="Q173" s="15"/>
      <c r="R173" s="14">
        <v>0.0</v>
      </c>
      <c r="S173" s="12" t="s">
        <v>27</v>
      </c>
      <c r="T173" s="12" t="s">
        <v>27</v>
      </c>
      <c r="U173" s="12" t="s">
        <v>27</v>
      </c>
      <c r="V173" s="12" t="str">
        <f>G173 &amp; H173 &amp; ", " &amp; N173</f>
        <v>Sergio Resendiz Rodilla en el Piso, Fin del juego</v>
      </c>
      <c r="W173" s="10">
        <v>30.0</v>
      </c>
      <c r="X173" s="10">
        <v>33.0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9.88"/>
    <col customWidth="1" min="3" max="3" width="7.25"/>
    <col customWidth="1" min="4" max="4" width="28.75"/>
    <col customWidth="1" min="5" max="5" width="22.5"/>
    <col customWidth="1" min="6" max="6" width="11.38"/>
    <col customWidth="1" min="7" max="7" width="28.88"/>
    <col customWidth="1" min="8" max="8" width="27.25"/>
    <col customWidth="1" min="9" max="9" width="10.25"/>
    <col customWidth="1" min="10" max="10" width="8.5"/>
    <col customWidth="1" min="11" max="11" width="18.13"/>
    <col customWidth="1" min="12" max="12" width="16.88"/>
    <col customWidth="1" min="13" max="13" width="16.75"/>
    <col customWidth="1" min="14" max="14" width="15.63"/>
    <col customWidth="1" min="15" max="15" width="5.88"/>
    <col customWidth="1" min="16" max="16" width="12.63"/>
    <col customWidth="1" min="17" max="17" width="11.5"/>
    <col customWidth="1" min="18" max="18" width="8.0"/>
    <col customWidth="1" min="19" max="19" width="23.25"/>
    <col customWidth="1" min="20" max="20" width="19.88"/>
    <col customWidth="1" min="21" max="21" width="28.5"/>
    <col customWidth="1" min="22" max="22" width="79.63"/>
  </cols>
  <sheetData>
    <row r="1" ht="14.2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9</v>
      </c>
      <c r="I1" s="7" t="s">
        <v>10</v>
      </c>
      <c r="J1" s="8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8" t="s">
        <v>16</v>
      </c>
      <c r="P1" s="9" t="s">
        <v>17</v>
      </c>
      <c r="Q1" s="9" t="s">
        <v>18</v>
      </c>
      <c r="R1" s="9" t="s">
        <v>19</v>
      </c>
      <c r="S1" s="7" t="s">
        <v>20</v>
      </c>
      <c r="T1" s="7" t="s">
        <v>21</v>
      </c>
      <c r="U1" s="7" t="s">
        <v>22</v>
      </c>
      <c r="V1" s="10" t="s">
        <v>23</v>
      </c>
      <c r="W1" s="10" t="s">
        <v>24</v>
      </c>
      <c r="X1" s="10" t="s">
        <v>25</v>
      </c>
      <c r="Y1" s="12"/>
      <c r="Z1" s="12"/>
      <c r="AA1" s="12"/>
      <c r="AB1" s="12"/>
      <c r="AC1" s="12"/>
      <c r="AD1" s="12"/>
    </row>
    <row r="2" ht="14.25" customHeight="1">
      <c r="A2" s="11">
        <v>1.0</v>
      </c>
      <c r="B2" s="12" t="s">
        <v>28</v>
      </c>
      <c r="C2" s="12" t="s">
        <v>27</v>
      </c>
      <c r="D2" s="12" t="s">
        <v>27</v>
      </c>
      <c r="E2" s="12" t="s">
        <v>28</v>
      </c>
      <c r="F2" s="12">
        <v>28.0</v>
      </c>
      <c r="G2" s="11" t="s">
        <v>29</v>
      </c>
      <c r="H2" s="12" t="s">
        <v>31</v>
      </c>
      <c r="I2" s="12" t="s">
        <v>27</v>
      </c>
      <c r="J2" s="12"/>
      <c r="K2" s="12">
        <v>35.0</v>
      </c>
      <c r="L2" s="12">
        <v>0.0</v>
      </c>
      <c r="M2" s="12">
        <v>65.0</v>
      </c>
      <c r="N2" s="12" t="s">
        <v>32</v>
      </c>
      <c r="O2" s="12"/>
      <c r="P2" s="13">
        <v>0.0</v>
      </c>
      <c r="Q2" s="14">
        <v>0.884959</v>
      </c>
      <c r="R2" s="14">
        <f>Q2-P2</f>
        <v>0.884959</v>
      </c>
      <c r="S2" s="12" t="s">
        <v>27</v>
      </c>
      <c r="T2" s="12" t="s">
        <v>27</v>
      </c>
      <c r="U2" s="12" t="s">
        <v>27</v>
      </c>
      <c r="V2" s="12" t="str">
        <f>G2 &amp; " kicks off " &amp; M2 &amp; " yardas, " &amp; N2</f>
        <v>Roberto Medina kicks off 65 yardas, Touchback</v>
      </c>
      <c r="W2" s="10">
        <v>0.0</v>
      </c>
      <c r="X2" s="10">
        <v>0.0</v>
      </c>
      <c r="Y2" s="12"/>
      <c r="Z2" s="12"/>
      <c r="AA2" s="12"/>
      <c r="AB2" s="12"/>
      <c r="AC2" s="12"/>
      <c r="AD2" s="12"/>
    </row>
    <row r="3" ht="14.25" customHeight="1">
      <c r="A3" s="11">
        <v>1.0</v>
      </c>
      <c r="B3" s="12" t="s">
        <v>26</v>
      </c>
      <c r="C3" s="12">
        <v>10.0</v>
      </c>
      <c r="D3" s="11" t="s">
        <v>34</v>
      </c>
      <c r="E3" s="12" t="s">
        <v>26</v>
      </c>
      <c r="F3" s="12">
        <v>31.0</v>
      </c>
      <c r="G3" s="11" t="s">
        <v>35</v>
      </c>
      <c r="H3" s="12" t="s">
        <v>38</v>
      </c>
      <c r="I3" s="12" t="s">
        <v>39</v>
      </c>
      <c r="J3" s="10">
        <v>10.0</v>
      </c>
      <c r="K3" s="12">
        <v>25.0</v>
      </c>
      <c r="L3" s="12">
        <v>0.0</v>
      </c>
      <c r="M3" s="12">
        <v>75.0</v>
      </c>
      <c r="N3" s="12" t="s">
        <v>40</v>
      </c>
      <c r="O3" s="12"/>
      <c r="P3" s="14">
        <v>0.884959</v>
      </c>
      <c r="Q3" s="14">
        <v>7.0</v>
      </c>
      <c r="R3" s="14">
        <v>6.115041</v>
      </c>
      <c r="S3" s="12" t="s">
        <v>27</v>
      </c>
      <c r="T3" s="12" t="s">
        <v>27</v>
      </c>
      <c r="U3" s="12" t="s">
        <v>27</v>
      </c>
      <c r="V3" s="12" t="str">
        <f>G3 &amp; "para " &amp; M3 &amp; " yardas, " &amp; N3</f>
        <v>Ángel Alvarado para 75 yardas, TD</v>
      </c>
      <c r="W3" s="10">
        <v>0.0</v>
      </c>
      <c r="X3" s="10">
        <v>6.0</v>
      </c>
      <c r="Y3" s="12"/>
      <c r="Z3" s="12"/>
      <c r="AA3" s="12"/>
      <c r="AB3" s="12"/>
      <c r="AC3" s="12"/>
      <c r="AD3" s="12"/>
    </row>
    <row r="4" ht="14.25" customHeight="1">
      <c r="A4" s="11">
        <v>1.0</v>
      </c>
      <c r="B4" s="12" t="s">
        <v>26</v>
      </c>
      <c r="C4" s="12" t="s">
        <v>27</v>
      </c>
      <c r="D4" s="12" t="s">
        <v>27</v>
      </c>
      <c r="E4" s="12" t="s">
        <v>26</v>
      </c>
      <c r="F4" s="12">
        <v>42.0</v>
      </c>
      <c r="G4" s="12" t="s">
        <v>42</v>
      </c>
      <c r="H4" s="12" t="s">
        <v>43</v>
      </c>
      <c r="I4" s="12" t="s">
        <v>27</v>
      </c>
      <c r="J4" s="12"/>
      <c r="K4" s="12">
        <v>-10.0</v>
      </c>
      <c r="L4" s="12">
        <v>0.0</v>
      </c>
      <c r="M4" s="12">
        <v>10.0</v>
      </c>
      <c r="N4" s="12" t="s">
        <v>44</v>
      </c>
      <c r="O4" s="12"/>
      <c r="P4" s="15"/>
      <c r="Q4" s="15"/>
      <c r="R4" s="15"/>
      <c r="S4" s="12" t="s">
        <v>27</v>
      </c>
      <c r="T4" s="12" t="s">
        <v>27</v>
      </c>
      <c r="U4" s="12" t="s">
        <v>27</v>
      </c>
      <c r="V4" s="12" t="str">
        <f>G4 &amp; " " &amp; N4</f>
        <v>Reynaldo Adolfo Blanco Palomo PAT fallada</v>
      </c>
      <c r="W4" s="10">
        <v>0.0</v>
      </c>
      <c r="X4" s="10">
        <v>6.0</v>
      </c>
      <c r="Y4" s="12"/>
      <c r="Z4" s="12"/>
      <c r="AA4" s="12"/>
      <c r="AB4" s="12"/>
      <c r="AC4" s="12"/>
      <c r="AD4" s="12"/>
    </row>
    <row r="5" ht="14.25" customHeight="1">
      <c r="A5" s="11">
        <v>1.0</v>
      </c>
      <c r="B5" s="12" t="s">
        <v>26</v>
      </c>
      <c r="C5" s="12" t="s">
        <v>27</v>
      </c>
      <c r="D5" s="12" t="s">
        <v>27</v>
      </c>
      <c r="E5" s="12" t="s">
        <v>26</v>
      </c>
      <c r="F5" s="12">
        <v>42.0</v>
      </c>
      <c r="G5" s="12" t="s">
        <v>42</v>
      </c>
      <c r="H5" s="12" t="s">
        <v>31</v>
      </c>
      <c r="I5" s="12" t="s">
        <v>27</v>
      </c>
      <c r="J5" s="12"/>
      <c r="K5" s="12">
        <v>35.0</v>
      </c>
      <c r="L5" s="12">
        <v>-3.0</v>
      </c>
      <c r="M5" s="12">
        <v>62.0</v>
      </c>
      <c r="N5" s="12" t="s">
        <v>167</v>
      </c>
      <c r="O5" s="12"/>
      <c r="P5" s="15"/>
      <c r="Q5" s="15"/>
      <c r="R5" s="15"/>
      <c r="S5" s="12" t="s">
        <v>27</v>
      </c>
      <c r="T5" s="12" t="s">
        <v>27</v>
      </c>
      <c r="U5" s="12" t="s">
        <v>27</v>
      </c>
      <c r="V5" s="12" t="str">
        <f>G5 &amp; " kicks off " &amp; M5 &amp; " yardas, " &amp; N5 &amp; " por " &amp; G6 &amp; " para " &amp; M6 &amp; " yardas"</f>
        <v>Reynaldo Adolfo Blanco Palomo kicks off 62 yardas, Regreso por Fernando Tonda para 17 yardas</v>
      </c>
      <c r="W5" s="10">
        <v>0.0</v>
      </c>
      <c r="X5" s="10">
        <v>6.0</v>
      </c>
      <c r="Y5" s="12"/>
      <c r="Z5" s="12"/>
      <c r="AA5" s="12"/>
      <c r="AB5" s="12"/>
      <c r="AC5" s="12"/>
      <c r="AD5" s="12"/>
    </row>
    <row r="6" ht="14.25" customHeight="1">
      <c r="A6" s="11">
        <v>1.0</v>
      </c>
      <c r="B6" s="12" t="s">
        <v>28</v>
      </c>
      <c r="C6" s="12" t="s">
        <v>27</v>
      </c>
      <c r="D6" s="12" t="s">
        <v>27</v>
      </c>
      <c r="E6" s="12" t="s">
        <v>28</v>
      </c>
      <c r="F6" s="12">
        <v>81.0</v>
      </c>
      <c r="G6" s="11" t="s">
        <v>46</v>
      </c>
      <c r="H6" s="12" t="s">
        <v>47</v>
      </c>
      <c r="I6" s="12" t="s">
        <v>27</v>
      </c>
      <c r="J6" s="12"/>
      <c r="K6" s="12">
        <v>3.0</v>
      </c>
      <c r="L6" s="12">
        <v>20.0</v>
      </c>
      <c r="M6" s="12">
        <v>17.0</v>
      </c>
      <c r="N6" s="12" t="s">
        <v>48</v>
      </c>
      <c r="O6" s="12"/>
      <c r="P6" s="13">
        <v>0.0</v>
      </c>
      <c r="Q6" s="13">
        <v>0.473</v>
      </c>
      <c r="R6" s="14">
        <f>Q6-P6</f>
        <v>0.473</v>
      </c>
      <c r="S6" s="12">
        <v>28.0</v>
      </c>
      <c r="T6" s="12" t="s">
        <v>26</v>
      </c>
      <c r="U6" s="12" t="s">
        <v>49</v>
      </c>
      <c r="V6" s="12" t="s">
        <v>50</v>
      </c>
      <c r="W6" s="10">
        <v>0.0</v>
      </c>
      <c r="X6" s="10">
        <v>6.0</v>
      </c>
      <c r="Y6" s="12"/>
      <c r="Z6" s="12"/>
      <c r="AA6" s="12"/>
      <c r="AB6" s="12"/>
      <c r="AC6" s="12"/>
      <c r="AD6" s="12"/>
    </row>
    <row r="7" ht="14.25" customHeight="1">
      <c r="A7" s="11">
        <v>1.0</v>
      </c>
      <c r="B7" s="12" t="s">
        <v>28</v>
      </c>
      <c r="C7" s="12">
        <v>15.0</v>
      </c>
      <c r="D7" s="11" t="s">
        <v>51</v>
      </c>
      <c r="E7" s="12" t="s">
        <v>28</v>
      </c>
      <c r="F7" s="12">
        <v>4.0</v>
      </c>
      <c r="G7" s="11" t="s">
        <v>52</v>
      </c>
      <c r="H7" s="12" t="s">
        <v>53</v>
      </c>
      <c r="I7" s="12" t="s">
        <v>39</v>
      </c>
      <c r="J7" s="10">
        <v>10.0</v>
      </c>
      <c r="K7" s="12">
        <v>20.0</v>
      </c>
      <c r="L7" s="12">
        <v>26.0</v>
      </c>
      <c r="M7" s="12">
        <v>6.0</v>
      </c>
      <c r="N7" s="12" t="s">
        <v>54</v>
      </c>
      <c r="O7" s="12">
        <f t="shared" ref="O7:O175" si="1">J8</f>
        <v>4</v>
      </c>
      <c r="P7" s="14">
        <v>0.472631</v>
      </c>
      <c r="Q7" s="14">
        <v>0.74378</v>
      </c>
      <c r="R7" s="14">
        <v>0.271149</v>
      </c>
      <c r="S7" s="12">
        <v>35.0</v>
      </c>
      <c r="T7" s="12" t="s">
        <v>26</v>
      </c>
      <c r="U7" s="12" t="s">
        <v>55</v>
      </c>
      <c r="V7" s="12" t="str">
        <f t="shared" ref="V7:V8" si="2">D7 &amp; H7 &amp; " completo para " &amp;G7 &amp; "para " &amp; M7 &amp; " yardas" </f>
        <v>Fernando Sarabia Pase completo para Víctor Palacios para 6 yardas</v>
      </c>
      <c r="W7" s="10">
        <v>0.0</v>
      </c>
      <c r="X7" s="10">
        <v>6.0</v>
      </c>
      <c r="Y7" s="12"/>
      <c r="Z7" s="12"/>
      <c r="AA7" s="12"/>
      <c r="AB7" s="12"/>
      <c r="AC7" s="12"/>
      <c r="AD7" s="12"/>
    </row>
    <row r="8" ht="14.25" customHeight="1">
      <c r="A8" s="11">
        <v>1.0</v>
      </c>
      <c r="B8" s="12" t="s">
        <v>28</v>
      </c>
      <c r="C8" s="12">
        <v>15.0</v>
      </c>
      <c r="D8" s="11" t="s">
        <v>51</v>
      </c>
      <c r="E8" s="12" t="s">
        <v>28</v>
      </c>
      <c r="F8" s="12">
        <v>16.0</v>
      </c>
      <c r="G8" s="11" t="s">
        <v>57</v>
      </c>
      <c r="H8" s="12" t="s">
        <v>53</v>
      </c>
      <c r="I8" s="12" t="s">
        <v>58</v>
      </c>
      <c r="J8" s="10">
        <v>4.0</v>
      </c>
      <c r="K8" s="12">
        <v>26.0</v>
      </c>
      <c r="L8" s="12">
        <v>36.0</v>
      </c>
      <c r="M8" s="12">
        <v>10.0</v>
      </c>
      <c r="N8" s="12" t="s">
        <v>48</v>
      </c>
      <c r="O8" s="12">
        <f t="shared" si="1"/>
        <v>10</v>
      </c>
      <c r="P8" s="14">
        <v>0.74378</v>
      </c>
      <c r="Q8" s="14">
        <v>1.762387</v>
      </c>
      <c r="R8" s="14">
        <v>1.018607</v>
      </c>
      <c r="S8" s="12">
        <v>47.0</v>
      </c>
      <c r="T8" s="12" t="s">
        <v>26</v>
      </c>
      <c r="U8" s="12" t="s">
        <v>59</v>
      </c>
      <c r="V8" s="12" t="str">
        <f t="shared" si="2"/>
        <v>Fernando Sarabia Pase completo para Miguel Ángel Lozano para 10 yardas</v>
      </c>
      <c r="W8" s="10">
        <v>0.0</v>
      </c>
      <c r="X8" s="10">
        <v>6.0</v>
      </c>
      <c r="Y8" s="12"/>
      <c r="Z8" s="12"/>
      <c r="AA8" s="12"/>
      <c r="AB8" s="12"/>
      <c r="AC8" s="12"/>
      <c r="AD8" s="12"/>
    </row>
    <row r="9" ht="14.25" customHeight="1">
      <c r="A9" s="11">
        <v>1.0</v>
      </c>
      <c r="B9" s="12" t="s">
        <v>28</v>
      </c>
      <c r="C9" s="12">
        <v>15.0</v>
      </c>
      <c r="D9" s="11" t="s">
        <v>51</v>
      </c>
      <c r="E9" s="12" t="s">
        <v>28</v>
      </c>
      <c r="F9" s="12">
        <v>23.0</v>
      </c>
      <c r="G9" s="11" t="s">
        <v>61</v>
      </c>
      <c r="H9" s="12" t="s">
        <v>38</v>
      </c>
      <c r="I9" s="12" t="s">
        <v>39</v>
      </c>
      <c r="J9" s="10">
        <v>10.0</v>
      </c>
      <c r="K9" s="12">
        <v>36.0</v>
      </c>
      <c r="L9" s="12">
        <v>32.0</v>
      </c>
      <c r="M9" s="12">
        <v>-4.0</v>
      </c>
      <c r="N9" s="12" t="s">
        <v>54</v>
      </c>
      <c r="O9" s="12">
        <f t="shared" si="1"/>
        <v>14</v>
      </c>
      <c r="P9" s="14">
        <v>1.762387</v>
      </c>
      <c r="Q9" s="14">
        <v>0.703018</v>
      </c>
      <c r="R9" s="14">
        <v>-1.05937</v>
      </c>
      <c r="S9" s="12">
        <v>2.0</v>
      </c>
      <c r="T9" s="12" t="s">
        <v>26</v>
      </c>
      <c r="U9" s="12" t="s">
        <v>62</v>
      </c>
      <c r="V9" s="12" t="str">
        <f>G9 &amp; "para " &amp; M9 &amp; " yardas, " &amp; N9</f>
        <v>Alejandro Cruz para -4 yardas, 2do down</v>
      </c>
      <c r="W9" s="10">
        <v>0.0</v>
      </c>
      <c r="X9" s="10">
        <v>6.0</v>
      </c>
      <c r="Y9" s="12"/>
      <c r="Z9" s="12"/>
      <c r="AA9" s="12"/>
      <c r="AB9" s="12"/>
      <c r="AC9" s="12"/>
      <c r="AD9" s="12"/>
    </row>
    <row r="10" ht="14.25" customHeight="1">
      <c r="A10" s="11">
        <v>1.0</v>
      </c>
      <c r="B10" s="12" t="s">
        <v>28</v>
      </c>
      <c r="C10" s="12">
        <v>15.0</v>
      </c>
      <c r="D10" s="11" t="s">
        <v>51</v>
      </c>
      <c r="E10" s="12" t="s">
        <v>28</v>
      </c>
      <c r="F10" s="12">
        <v>23.0</v>
      </c>
      <c r="G10" s="11" t="s">
        <v>61</v>
      </c>
      <c r="H10" s="12" t="s">
        <v>53</v>
      </c>
      <c r="I10" s="12" t="s">
        <v>58</v>
      </c>
      <c r="J10" s="10">
        <v>14.0</v>
      </c>
      <c r="K10" s="12">
        <v>32.0</v>
      </c>
      <c r="L10" s="12">
        <v>41.0</v>
      </c>
      <c r="M10" s="12">
        <v>9.0</v>
      </c>
      <c r="N10" s="12" t="s">
        <v>64</v>
      </c>
      <c r="O10" s="12">
        <f t="shared" si="1"/>
        <v>5</v>
      </c>
      <c r="P10" s="14">
        <v>0.703018</v>
      </c>
      <c r="Q10" s="14">
        <v>1.104378</v>
      </c>
      <c r="R10" s="14">
        <v>0.401361</v>
      </c>
      <c r="S10" s="12">
        <v>29.0</v>
      </c>
      <c r="T10" s="12" t="s">
        <v>26</v>
      </c>
      <c r="U10" s="12" t="s">
        <v>65</v>
      </c>
      <c r="V10" s="12" t="str">
        <f>D10 &amp; H10 &amp; " completo para " &amp;G10 &amp; "para " &amp; M10 &amp; " yardas" </f>
        <v>Fernando Sarabia Pase completo para Alejandro Cruz para 9 yardas</v>
      </c>
      <c r="W10" s="10">
        <v>0.0</v>
      </c>
      <c r="X10" s="10">
        <v>6.0</v>
      </c>
      <c r="Y10" s="12"/>
      <c r="Z10" s="12"/>
      <c r="AA10" s="12"/>
      <c r="AB10" s="12"/>
      <c r="AC10" s="12"/>
      <c r="AD10" s="12"/>
    </row>
    <row r="11" ht="14.25" customHeight="1">
      <c r="A11" s="11">
        <v>1.0</v>
      </c>
      <c r="B11" s="12" t="s">
        <v>28</v>
      </c>
      <c r="C11" s="12">
        <v>15.0</v>
      </c>
      <c r="D11" s="11" t="s">
        <v>51</v>
      </c>
      <c r="E11" s="12" t="s">
        <v>26</v>
      </c>
      <c r="F11" s="12">
        <v>12.0</v>
      </c>
      <c r="G11" s="11" t="s">
        <v>67</v>
      </c>
      <c r="H11" s="12" t="s">
        <v>68</v>
      </c>
      <c r="I11" s="12" t="s">
        <v>69</v>
      </c>
      <c r="J11" s="12">
        <f t="shared" ref="J11:J12" si="3">J10-M10</f>
        <v>5</v>
      </c>
      <c r="K11" s="12">
        <v>41.0</v>
      </c>
      <c r="L11" s="12">
        <v>35.0</v>
      </c>
      <c r="M11" s="12">
        <v>-6.0</v>
      </c>
      <c r="N11" s="12" t="s">
        <v>70</v>
      </c>
      <c r="O11" s="12">
        <f t="shared" si="1"/>
        <v>11</v>
      </c>
      <c r="P11" s="14">
        <v>1.104378</v>
      </c>
      <c r="Q11" s="14">
        <v>-1.16675</v>
      </c>
      <c r="R11" s="14">
        <v>-2.27113</v>
      </c>
      <c r="S11" s="12" t="s">
        <v>27</v>
      </c>
      <c r="T11" s="12" t="s">
        <v>27</v>
      </c>
      <c r="U11" s="12" t="s">
        <v>27</v>
      </c>
      <c r="V11" s="12" t="str">
        <f>D11 &amp; "capturado por " &amp; G11</f>
        <v>Fernando Sarabia capturado por Diego Blade </v>
      </c>
      <c r="W11" s="10">
        <v>0.0</v>
      </c>
      <c r="X11" s="10">
        <v>6.0</v>
      </c>
      <c r="Y11" s="12"/>
      <c r="Z11" s="12"/>
      <c r="AA11" s="12"/>
      <c r="AB11" s="12"/>
      <c r="AC11" s="12"/>
      <c r="AD11" s="12"/>
    </row>
    <row r="12" ht="14.25" customHeight="1">
      <c r="A12" s="11">
        <v>1.0</v>
      </c>
      <c r="B12" s="12" t="s">
        <v>28</v>
      </c>
      <c r="C12" s="12" t="s">
        <v>27</v>
      </c>
      <c r="D12" s="12" t="s">
        <v>27</v>
      </c>
      <c r="E12" s="12" t="s">
        <v>28</v>
      </c>
      <c r="F12" s="12">
        <v>87.0</v>
      </c>
      <c r="G12" s="10" t="s">
        <v>72</v>
      </c>
      <c r="H12" s="12" t="s">
        <v>73</v>
      </c>
      <c r="I12" s="12" t="s">
        <v>74</v>
      </c>
      <c r="J12" s="12">
        <f t="shared" si="3"/>
        <v>11</v>
      </c>
      <c r="K12" s="12">
        <v>22.0</v>
      </c>
      <c r="L12" s="12">
        <v>-25.0</v>
      </c>
      <c r="M12" s="12">
        <v>53.0</v>
      </c>
      <c r="N12" s="12" t="s">
        <v>75</v>
      </c>
      <c r="O12" s="12">
        <f t="shared" si="1"/>
        <v>10</v>
      </c>
      <c r="P12" s="14">
        <v>-1.16675</v>
      </c>
      <c r="Q12" s="13">
        <v>-0.974</v>
      </c>
      <c r="R12" s="14">
        <f>Q12-P12</f>
        <v>0.19275</v>
      </c>
      <c r="S12" s="12" t="s">
        <v>27</v>
      </c>
      <c r="T12" s="12" t="s">
        <v>27</v>
      </c>
      <c r="U12" s="12" t="s">
        <v>27</v>
      </c>
      <c r="V12" s="12" t="str">
        <f>G12 &amp; H12 &amp; " " &amp; M12 &amp; " yardas, " &amp; N12</f>
        <v>Mauricio Fernández Salazar  Punt 53 yardas, Recepción libre</v>
      </c>
      <c r="W12" s="10">
        <v>0.0</v>
      </c>
      <c r="X12" s="10">
        <v>6.0</v>
      </c>
      <c r="Y12" s="12"/>
      <c r="Z12" s="12"/>
      <c r="AA12" s="12"/>
      <c r="AB12" s="12"/>
      <c r="AC12" s="12"/>
      <c r="AD12" s="12"/>
    </row>
    <row r="13" ht="14.25" customHeight="1">
      <c r="A13" s="11">
        <v>1.0</v>
      </c>
      <c r="B13" s="12" t="s">
        <v>26</v>
      </c>
      <c r="C13" s="12">
        <v>10.0</v>
      </c>
      <c r="D13" s="11" t="s">
        <v>34</v>
      </c>
      <c r="E13" s="12" t="s">
        <v>26</v>
      </c>
      <c r="F13" s="12">
        <v>21.0</v>
      </c>
      <c r="G13" s="12" t="s">
        <v>77</v>
      </c>
      <c r="H13" s="12" t="s">
        <v>38</v>
      </c>
      <c r="I13" s="12" t="s">
        <v>39</v>
      </c>
      <c r="J13" s="10">
        <v>10.0</v>
      </c>
      <c r="K13" s="12">
        <v>26.0</v>
      </c>
      <c r="L13" s="12">
        <v>30.0</v>
      </c>
      <c r="M13" s="12">
        <v>4.0</v>
      </c>
      <c r="N13" s="12" t="s">
        <v>54</v>
      </c>
      <c r="O13" s="12">
        <f t="shared" si="1"/>
        <v>6</v>
      </c>
      <c r="P13" s="14">
        <v>0.974109</v>
      </c>
      <c r="Q13" s="14">
        <v>0.901683</v>
      </c>
      <c r="R13" s="14">
        <v>-0.07243</v>
      </c>
      <c r="S13" s="12">
        <v>55.0</v>
      </c>
      <c r="T13" s="12" t="s">
        <v>28</v>
      </c>
      <c r="U13" s="12" t="s">
        <v>78</v>
      </c>
      <c r="V13" s="12" t="str">
        <f t="shared" ref="V13:V16" si="4">G13 &amp; "para " &amp; M13 &amp; " yardas, " &amp; N13</f>
        <v>Eduardo Martínez Alvaradopara 4 yardas, 2do down</v>
      </c>
      <c r="W13" s="10">
        <v>0.0</v>
      </c>
      <c r="X13" s="10">
        <v>6.0</v>
      </c>
      <c r="Y13" s="12"/>
      <c r="Z13" s="12"/>
      <c r="AA13" s="12"/>
      <c r="AB13" s="12"/>
      <c r="AC13" s="12"/>
      <c r="AD13" s="12"/>
    </row>
    <row r="14" ht="14.25" customHeight="1">
      <c r="A14" s="11">
        <v>1.0</v>
      </c>
      <c r="B14" s="12" t="s">
        <v>26</v>
      </c>
      <c r="C14" s="12">
        <v>10.0</v>
      </c>
      <c r="D14" s="11" t="s">
        <v>34</v>
      </c>
      <c r="E14" s="12" t="s">
        <v>26</v>
      </c>
      <c r="F14" s="12">
        <v>21.0</v>
      </c>
      <c r="G14" s="12" t="s">
        <v>77</v>
      </c>
      <c r="H14" s="12" t="s">
        <v>38</v>
      </c>
      <c r="I14" s="12" t="s">
        <v>58</v>
      </c>
      <c r="J14" s="12">
        <f>J13-M13</f>
        <v>6</v>
      </c>
      <c r="K14" s="12">
        <v>30.0</v>
      </c>
      <c r="L14" s="12">
        <v>47.0</v>
      </c>
      <c r="M14" s="12">
        <v>17.0</v>
      </c>
      <c r="N14" s="12" t="s">
        <v>48</v>
      </c>
      <c r="O14" s="12">
        <f t="shared" si="1"/>
        <v>10</v>
      </c>
      <c r="P14" s="14">
        <v>0.901683</v>
      </c>
      <c r="Q14" s="14">
        <v>2.539039</v>
      </c>
      <c r="R14" s="14">
        <v>1.637356</v>
      </c>
      <c r="S14" s="12">
        <v>29.0</v>
      </c>
      <c r="T14" s="12" t="s">
        <v>28</v>
      </c>
      <c r="U14" s="12" t="s">
        <v>80</v>
      </c>
      <c r="V14" s="12" t="str">
        <f t="shared" si="4"/>
        <v>Eduardo Martínez Alvaradopara 17 yardas, 1er down</v>
      </c>
      <c r="W14" s="10">
        <v>0.0</v>
      </c>
      <c r="X14" s="10">
        <v>6.0</v>
      </c>
      <c r="Y14" s="12"/>
      <c r="Z14" s="12"/>
      <c r="AA14" s="12"/>
      <c r="AB14" s="12"/>
      <c r="AC14" s="12"/>
      <c r="AD14" s="12"/>
    </row>
    <row r="15" ht="14.25" customHeight="1">
      <c r="A15" s="11">
        <v>1.0</v>
      </c>
      <c r="B15" s="12" t="s">
        <v>26</v>
      </c>
      <c r="C15" s="12">
        <v>10.0</v>
      </c>
      <c r="D15" s="11" t="s">
        <v>34</v>
      </c>
      <c r="E15" s="12" t="s">
        <v>26</v>
      </c>
      <c r="F15" s="12">
        <v>31.0</v>
      </c>
      <c r="G15" s="11" t="s">
        <v>35</v>
      </c>
      <c r="H15" s="12" t="s">
        <v>38</v>
      </c>
      <c r="I15" s="12" t="s">
        <v>39</v>
      </c>
      <c r="J15" s="10">
        <v>10.0</v>
      </c>
      <c r="K15" s="12">
        <v>47.0</v>
      </c>
      <c r="L15" s="12">
        <v>-47.0</v>
      </c>
      <c r="M15" s="12">
        <v>6.0</v>
      </c>
      <c r="N15" s="12" t="s">
        <v>54</v>
      </c>
      <c r="O15" s="12">
        <f t="shared" si="1"/>
        <v>4</v>
      </c>
      <c r="P15" s="14">
        <v>2.539039</v>
      </c>
      <c r="Q15" s="14">
        <v>2.768876</v>
      </c>
      <c r="R15" s="14">
        <v>0.229837</v>
      </c>
      <c r="S15" s="12">
        <v>29.0</v>
      </c>
      <c r="T15" s="12" t="s">
        <v>28</v>
      </c>
      <c r="U15" s="12" t="s">
        <v>80</v>
      </c>
      <c r="V15" s="12" t="str">
        <f t="shared" si="4"/>
        <v>Ángel Alvarado para 6 yardas, 2do down</v>
      </c>
      <c r="W15" s="10">
        <v>0.0</v>
      </c>
      <c r="X15" s="10">
        <v>6.0</v>
      </c>
      <c r="Y15" s="12"/>
      <c r="Z15" s="12"/>
      <c r="AA15" s="12"/>
      <c r="AB15" s="12"/>
      <c r="AC15" s="12"/>
      <c r="AD15" s="12"/>
    </row>
    <row r="16" ht="14.25" customHeight="1">
      <c r="A16" s="11">
        <v>1.0</v>
      </c>
      <c r="B16" s="12" t="s">
        <v>26</v>
      </c>
      <c r="C16" s="12">
        <v>10.0</v>
      </c>
      <c r="D16" s="11" t="s">
        <v>34</v>
      </c>
      <c r="E16" s="12" t="s">
        <v>26</v>
      </c>
      <c r="F16" s="12">
        <v>31.0</v>
      </c>
      <c r="G16" s="11" t="s">
        <v>35</v>
      </c>
      <c r="H16" s="12" t="s">
        <v>38</v>
      </c>
      <c r="I16" s="12" t="s">
        <v>58</v>
      </c>
      <c r="J16" s="12">
        <f>J15-M15</f>
        <v>4</v>
      </c>
      <c r="K16" s="12">
        <v>-47.0</v>
      </c>
      <c r="L16" s="12">
        <v>-43.0</v>
      </c>
      <c r="M16" s="12">
        <v>4.0</v>
      </c>
      <c r="N16" s="12" t="s">
        <v>48</v>
      </c>
      <c r="O16" s="12">
        <f t="shared" si="1"/>
        <v>10</v>
      </c>
      <c r="P16" s="14">
        <v>2.768876</v>
      </c>
      <c r="Q16" s="14">
        <v>3.064499</v>
      </c>
      <c r="R16" s="14">
        <v>0.295623</v>
      </c>
      <c r="S16" s="12">
        <v>72.0</v>
      </c>
      <c r="T16" s="12" t="s">
        <v>28</v>
      </c>
      <c r="U16" s="12" t="s">
        <v>83</v>
      </c>
      <c r="V16" s="12" t="str">
        <f t="shared" si="4"/>
        <v>Ángel Alvarado para 4 yardas, 1er down</v>
      </c>
      <c r="W16" s="10">
        <v>0.0</v>
      </c>
      <c r="X16" s="10">
        <v>6.0</v>
      </c>
      <c r="Y16" s="12"/>
      <c r="Z16" s="12"/>
      <c r="AA16" s="12"/>
      <c r="AB16" s="12"/>
      <c r="AC16" s="12"/>
      <c r="AD16" s="12"/>
    </row>
    <row r="17" ht="14.25" customHeight="1">
      <c r="A17" s="11">
        <v>1.0</v>
      </c>
      <c r="B17" s="12" t="s">
        <v>26</v>
      </c>
      <c r="C17" s="12">
        <v>10.0</v>
      </c>
      <c r="D17" s="11" t="s">
        <v>34</v>
      </c>
      <c r="E17" s="12" t="s">
        <v>26</v>
      </c>
      <c r="F17" s="12">
        <v>20.0</v>
      </c>
      <c r="G17" s="10" t="s">
        <v>85</v>
      </c>
      <c r="H17" s="12" t="s">
        <v>53</v>
      </c>
      <c r="I17" s="12" t="s">
        <v>39</v>
      </c>
      <c r="J17" s="10">
        <v>10.0</v>
      </c>
      <c r="K17" s="12">
        <v>-43.0</v>
      </c>
      <c r="L17" s="12">
        <v>-37.0</v>
      </c>
      <c r="M17" s="12">
        <v>6.0</v>
      </c>
      <c r="N17" s="12" t="s">
        <v>54</v>
      </c>
      <c r="O17" s="12">
        <f t="shared" si="1"/>
        <v>4</v>
      </c>
      <c r="P17" s="14">
        <v>3.064499</v>
      </c>
      <c r="Q17" s="14">
        <v>3.284751</v>
      </c>
      <c r="R17" s="14">
        <v>0.220252</v>
      </c>
      <c r="S17" s="12">
        <v>2.0</v>
      </c>
      <c r="T17" s="12" t="s">
        <v>28</v>
      </c>
      <c r="U17" s="12" t="s">
        <v>86</v>
      </c>
      <c r="V17" s="12" t="str">
        <f>D17 &amp; H17 &amp; " completo para " &amp;G17 &amp; "para " &amp; M17 &amp; " yardas" </f>
        <v>Sergio Resendiz Pase completo para Jorge Luis Chaib De León para 6 yardas</v>
      </c>
      <c r="W17" s="10">
        <v>0.0</v>
      </c>
      <c r="X17" s="10">
        <v>6.0</v>
      </c>
      <c r="Y17" s="12"/>
      <c r="Z17" s="12"/>
      <c r="AA17" s="12"/>
      <c r="AB17" s="12"/>
      <c r="AC17" s="12"/>
      <c r="AD17" s="12"/>
    </row>
    <row r="18" ht="14.25" customHeight="1">
      <c r="A18" s="11">
        <v>1.0</v>
      </c>
      <c r="B18" s="12" t="s">
        <v>26</v>
      </c>
      <c r="C18" s="12">
        <v>10.0</v>
      </c>
      <c r="D18" s="11" t="s">
        <v>34</v>
      </c>
      <c r="E18" s="12" t="s">
        <v>26</v>
      </c>
      <c r="F18" s="12">
        <v>21.0</v>
      </c>
      <c r="G18" s="12" t="s">
        <v>77</v>
      </c>
      <c r="H18" s="12" t="s">
        <v>38</v>
      </c>
      <c r="I18" s="12" t="s">
        <v>58</v>
      </c>
      <c r="J18" s="12">
        <f>J17-M17</f>
        <v>4</v>
      </c>
      <c r="K18" s="12">
        <v>-37.0</v>
      </c>
      <c r="L18" s="12">
        <v>-33.0</v>
      </c>
      <c r="M18" s="12">
        <v>4.0</v>
      </c>
      <c r="N18" s="12" t="s">
        <v>48</v>
      </c>
      <c r="O18" s="12">
        <f t="shared" si="1"/>
        <v>10</v>
      </c>
      <c r="P18" s="14">
        <v>3.284751</v>
      </c>
      <c r="Q18" s="14">
        <v>3.57792</v>
      </c>
      <c r="R18" s="14">
        <v>0.293169</v>
      </c>
      <c r="S18" s="12">
        <v>2.0</v>
      </c>
      <c r="T18" s="12" t="s">
        <v>28</v>
      </c>
      <c r="U18" s="12" t="s">
        <v>86</v>
      </c>
      <c r="V18" s="12" t="str">
        <f t="shared" ref="V18:V21" si="5">G18 &amp; "para " &amp; M18 &amp; " yardas, " &amp; N18</f>
        <v>Eduardo Martínez Alvaradopara 4 yardas, 1er down</v>
      </c>
      <c r="W18" s="10">
        <v>0.0</v>
      </c>
      <c r="X18" s="10">
        <v>6.0</v>
      </c>
      <c r="Y18" s="12"/>
      <c r="Z18" s="12"/>
      <c r="AA18" s="12"/>
      <c r="AB18" s="12"/>
      <c r="AC18" s="12"/>
      <c r="AD18" s="12"/>
    </row>
    <row r="19" ht="14.25" customHeight="1">
      <c r="A19" s="11">
        <v>1.0</v>
      </c>
      <c r="B19" s="12" t="s">
        <v>26</v>
      </c>
      <c r="C19" s="12">
        <v>10.0</v>
      </c>
      <c r="D19" s="11" t="s">
        <v>34</v>
      </c>
      <c r="E19" s="12" t="s">
        <v>26</v>
      </c>
      <c r="F19" s="12">
        <v>31.0</v>
      </c>
      <c r="G19" s="11" t="s">
        <v>35</v>
      </c>
      <c r="H19" s="12" t="s">
        <v>38</v>
      </c>
      <c r="I19" s="12" t="s">
        <v>39</v>
      </c>
      <c r="J19" s="10">
        <v>10.0</v>
      </c>
      <c r="K19" s="12">
        <v>-33.0</v>
      </c>
      <c r="L19" s="12">
        <v>-30.0</v>
      </c>
      <c r="M19" s="12">
        <v>3.0</v>
      </c>
      <c r="N19" s="12" t="s">
        <v>54</v>
      </c>
      <c r="O19" s="12">
        <f t="shared" si="1"/>
        <v>7</v>
      </c>
      <c r="P19" s="14">
        <v>3.57792</v>
      </c>
      <c r="Q19" s="14">
        <v>3.590104</v>
      </c>
      <c r="R19" s="14">
        <v>0.012184</v>
      </c>
      <c r="S19" s="12">
        <v>27.0</v>
      </c>
      <c r="T19" s="12" t="s">
        <v>28</v>
      </c>
      <c r="U19" s="12" t="s">
        <v>89</v>
      </c>
      <c r="V19" s="12" t="str">
        <f t="shared" si="5"/>
        <v>Ángel Alvarado para 3 yardas, 2do down</v>
      </c>
      <c r="W19" s="10">
        <v>0.0</v>
      </c>
      <c r="X19" s="10">
        <v>6.0</v>
      </c>
      <c r="Y19" s="12"/>
      <c r="Z19" s="12"/>
      <c r="AA19" s="12"/>
      <c r="AB19" s="12"/>
      <c r="AC19" s="12"/>
      <c r="AD19" s="12"/>
    </row>
    <row r="20" ht="14.25" customHeight="1">
      <c r="A20" s="11">
        <v>1.0</v>
      </c>
      <c r="B20" s="12" t="s">
        <v>26</v>
      </c>
      <c r="C20" s="12">
        <v>10.0</v>
      </c>
      <c r="D20" s="11" t="s">
        <v>34</v>
      </c>
      <c r="E20" s="12" t="s">
        <v>26</v>
      </c>
      <c r="F20" s="12">
        <v>31.0</v>
      </c>
      <c r="G20" s="11" t="s">
        <v>35</v>
      </c>
      <c r="H20" s="12" t="s">
        <v>38</v>
      </c>
      <c r="I20" s="12" t="s">
        <v>58</v>
      </c>
      <c r="J20" s="12">
        <f t="shared" ref="J20:J22" si="6">J19-M19</f>
        <v>7</v>
      </c>
      <c r="K20" s="12">
        <v>-30.0</v>
      </c>
      <c r="L20" s="12">
        <v>-27.0</v>
      </c>
      <c r="M20" s="12">
        <v>3.0</v>
      </c>
      <c r="N20" s="12" t="s">
        <v>64</v>
      </c>
      <c r="O20" s="12">
        <f t="shared" si="1"/>
        <v>4</v>
      </c>
      <c r="P20" s="14">
        <v>3.590104</v>
      </c>
      <c r="Q20" s="14">
        <v>3.076431</v>
      </c>
      <c r="R20" s="14">
        <v>-0.51367</v>
      </c>
      <c r="S20" s="12">
        <v>72.0</v>
      </c>
      <c r="T20" s="12" t="s">
        <v>28</v>
      </c>
      <c r="U20" s="12" t="s">
        <v>83</v>
      </c>
      <c r="V20" s="12" t="str">
        <f t="shared" si="5"/>
        <v>Ángel Alvarado para 3 yardas, 3er down</v>
      </c>
      <c r="W20" s="10">
        <v>0.0</v>
      </c>
      <c r="X20" s="10">
        <v>6.0</v>
      </c>
      <c r="Y20" s="12"/>
      <c r="Z20" s="12"/>
      <c r="AA20" s="12"/>
      <c r="AB20" s="12"/>
      <c r="AC20" s="12"/>
      <c r="AD20" s="12"/>
    </row>
    <row r="21" ht="14.25" customHeight="1">
      <c r="A21" s="11">
        <v>1.0</v>
      </c>
      <c r="B21" s="12" t="s">
        <v>26</v>
      </c>
      <c r="C21" s="12">
        <v>10.0</v>
      </c>
      <c r="D21" s="11" t="s">
        <v>34</v>
      </c>
      <c r="E21" s="12" t="s">
        <v>26</v>
      </c>
      <c r="F21" s="12">
        <v>10.0</v>
      </c>
      <c r="G21" s="11" t="s">
        <v>34</v>
      </c>
      <c r="H21" s="12" t="s">
        <v>38</v>
      </c>
      <c r="I21" s="12" t="s">
        <v>69</v>
      </c>
      <c r="J21" s="12">
        <f t="shared" si="6"/>
        <v>4</v>
      </c>
      <c r="K21" s="12">
        <v>-27.0</v>
      </c>
      <c r="L21" s="12">
        <v>-29.0</v>
      </c>
      <c r="M21" s="12">
        <v>-2.0</v>
      </c>
      <c r="N21" s="12" t="s">
        <v>70</v>
      </c>
      <c r="O21" s="12">
        <f t="shared" si="1"/>
        <v>6</v>
      </c>
      <c r="P21" s="14">
        <v>3.076431</v>
      </c>
      <c r="Q21" s="14">
        <v>1.706444</v>
      </c>
      <c r="R21" s="14">
        <v>-1.36999</v>
      </c>
      <c r="S21" s="12">
        <v>2.0</v>
      </c>
      <c r="T21" s="12" t="s">
        <v>28</v>
      </c>
      <c r="U21" s="12" t="s">
        <v>86</v>
      </c>
      <c r="V21" s="12" t="str">
        <f t="shared" si="5"/>
        <v>Sergio Resendiz para -2 yardas, 4to down</v>
      </c>
      <c r="W21" s="10">
        <f t="shared" ref="W21:X21" si="7">W20</f>
        <v>0</v>
      </c>
      <c r="X21" s="10">
        <f t="shared" si="7"/>
        <v>6</v>
      </c>
      <c r="Y21" s="12"/>
      <c r="Z21" s="12"/>
      <c r="AA21" s="12"/>
      <c r="AB21" s="12"/>
      <c r="AC21" s="12"/>
      <c r="AD21" s="12"/>
    </row>
    <row r="22" ht="14.25" customHeight="1">
      <c r="A22" s="11">
        <v>1.0</v>
      </c>
      <c r="B22" s="12" t="s">
        <v>26</v>
      </c>
      <c r="C22" s="12" t="s">
        <v>27</v>
      </c>
      <c r="D22" s="12" t="s">
        <v>27</v>
      </c>
      <c r="E22" s="12" t="s">
        <v>26</v>
      </c>
      <c r="F22" s="12">
        <v>42.0</v>
      </c>
      <c r="G22" s="10" t="s">
        <v>93</v>
      </c>
      <c r="H22" s="12" t="s">
        <v>94</v>
      </c>
      <c r="I22" s="12" t="s">
        <v>74</v>
      </c>
      <c r="J22" s="12">
        <f t="shared" si="6"/>
        <v>6</v>
      </c>
      <c r="K22" s="12">
        <v>-36.0</v>
      </c>
      <c r="L22" s="12">
        <v>0.0</v>
      </c>
      <c r="M22" s="12">
        <v>46.0</v>
      </c>
      <c r="N22" s="12" t="s">
        <v>95</v>
      </c>
      <c r="O22" s="12" t="str">
        <f t="shared" si="1"/>
        <v/>
      </c>
      <c r="P22" s="14">
        <v>1.706444</v>
      </c>
      <c r="Q22" s="13">
        <v>3.0</v>
      </c>
      <c r="R22" s="14">
        <f>Q22-P22</f>
        <v>1.293556</v>
      </c>
      <c r="S22" s="12" t="s">
        <v>27</v>
      </c>
      <c r="T22" s="12" t="s">
        <v>27</v>
      </c>
      <c r="U22" s="12" t="s">
        <v>27</v>
      </c>
      <c r="V22" s="12" t="str">
        <f>G22 &amp; N22</f>
        <v>Reynaldo Adolfo Blanco Palomo FG bueno</v>
      </c>
      <c r="W22" s="10">
        <v>0.0</v>
      </c>
      <c r="X22" s="10">
        <v>9.0</v>
      </c>
      <c r="Y22" s="12"/>
      <c r="Z22" s="12"/>
      <c r="AA22" s="12"/>
      <c r="AB22" s="12"/>
      <c r="AC22" s="12"/>
      <c r="AD22" s="12"/>
    </row>
    <row r="23" ht="14.25" customHeight="1">
      <c r="A23" s="11">
        <v>1.0</v>
      </c>
      <c r="B23" s="12" t="s">
        <v>26</v>
      </c>
      <c r="C23" s="12" t="s">
        <v>27</v>
      </c>
      <c r="D23" s="12" t="s">
        <v>27</v>
      </c>
      <c r="E23" s="12" t="s">
        <v>26</v>
      </c>
      <c r="F23" s="12">
        <v>42.0</v>
      </c>
      <c r="G23" s="12" t="s">
        <v>42</v>
      </c>
      <c r="H23" s="12" t="s">
        <v>31</v>
      </c>
      <c r="I23" s="12" t="s">
        <v>27</v>
      </c>
      <c r="J23" s="12"/>
      <c r="K23" s="12">
        <v>35.0</v>
      </c>
      <c r="L23" s="12">
        <v>-4.0</v>
      </c>
      <c r="M23" s="12">
        <v>61.0</v>
      </c>
      <c r="N23" s="12" t="s">
        <v>167</v>
      </c>
      <c r="O23" s="12" t="str">
        <f t="shared" si="1"/>
        <v/>
      </c>
      <c r="P23" s="15"/>
      <c r="Q23" s="15"/>
      <c r="R23" s="14">
        <v>0.0</v>
      </c>
      <c r="S23" s="12" t="s">
        <v>27</v>
      </c>
      <c r="T23" s="12" t="s">
        <v>27</v>
      </c>
      <c r="U23" s="12" t="s">
        <v>27</v>
      </c>
      <c r="V23" s="12" t="str">
        <f>G23 &amp; " kicks off " &amp; M23 &amp; " yardas, " &amp; N23 &amp; " por " &amp; G24 &amp; " para " &amp; M24 &amp; " yardas"</f>
        <v>Reynaldo Adolfo Blanco Palomo kicks off 61 yardas, Regreso por Fernando Tonda para 22 yardas</v>
      </c>
      <c r="W23" s="10">
        <f t="shared" ref="W23:X23" si="8">W22</f>
        <v>0</v>
      </c>
      <c r="X23" s="10">
        <f t="shared" si="8"/>
        <v>9</v>
      </c>
      <c r="Y23" s="12"/>
      <c r="Z23" s="12"/>
      <c r="AA23" s="12"/>
      <c r="AB23" s="12"/>
      <c r="AC23" s="12"/>
      <c r="AD23" s="12"/>
    </row>
    <row r="24" ht="14.25" customHeight="1">
      <c r="A24" s="11">
        <v>1.0</v>
      </c>
      <c r="B24" s="12" t="s">
        <v>28</v>
      </c>
      <c r="C24" s="12" t="s">
        <v>27</v>
      </c>
      <c r="D24" s="12" t="s">
        <v>27</v>
      </c>
      <c r="E24" s="12" t="s">
        <v>28</v>
      </c>
      <c r="F24" s="12">
        <v>81.0</v>
      </c>
      <c r="G24" s="11" t="s">
        <v>46</v>
      </c>
      <c r="H24" s="12" t="s">
        <v>47</v>
      </c>
      <c r="I24" s="12" t="s">
        <v>27</v>
      </c>
      <c r="J24" s="12"/>
      <c r="K24" s="12">
        <v>4.0</v>
      </c>
      <c r="L24" s="12">
        <v>26.0</v>
      </c>
      <c r="M24" s="12">
        <v>22.0</v>
      </c>
      <c r="N24" s="12" t="s">
        <v>48</v>
      </c>
      <c r="O24" s="12">
        <f t="shared" si="1"/>
        <v>10</v>
      </c>
      <c r="P24" s="13">
        <v>0.0</v>
      </c>
      <c r="Q24" s="14">
        <v>0.974109</v>
      </c>
      <c r="R24" s="14">
        <f>Q24-P24</f>
        <v>0.974109</v>
      </c>
      <c r="S24" s="12">
        <v>27.0</v>
      </c>
      <c r="T24" s="12" t="s">
        <v>26</v>
      </c>
      <c r="U24" s="12" t="s">
        <v>97</v>
      </c>
      <c r="V24" s="12" t="s">
        <v>98</v>
      </c>
      <c r="W24" s="10">
        <f t="shared" ref="W24:X24" si="9">W23</f>
        <v>0</v>
      </c>
      <c r="X24" s="10">
        <f t="shared" si="9"/>
        <v>9</v>
      </c>
      <c r="Y24" s="12"/>
      <c r="Z24" s="12"/>
      <c r="AA24" s="12"/>
      <c r="AB24" s="12"/>
      <c r="AC24" s="12"/>
      <c r="AD24" s="12"/>
    </row>
    <row r="25" ht="14.25" customHeight="1">
      <c r="A25" s="11">
        <v>1.0</v>
      </c>
      <c r="B25" s="12" t="s">
        <v>28</v>
      </c>
      <c r="C25" s="12">
        <v>15.0</v>
      </c>
      <c r="D25" s="11" t="s">
        <v>51</v>
      </c>
      <c r="E25" s="12" t="s">
        <v>28</v>
      </c>
      <c r="F25" s="12">
        <v>23.0</v>
      </c>
      <c r="G25" s="11" t="s">
        <v>61</v>
      </c>
      <c r="H25" s="12" t="s">
        <v>38</v>
      </c>
      <c r="I25" s="12" t="s">
        <v>39</v>
      </c>
      <c r="J25" s="10">
        <v>10.0</v>
      </c>
      <c r="K25" s="12">
        <v>26.0</v>
      </c>
      <c r="L25" s="12">
        <v>26.0</v>
      </c>
      <c r="M25" s="12">
        <v>0.0</v>
      </c>
      <c r="N25" s="12" t="s">
        <v>54</v>
      </c>
      <c r="O25" s="12">
        <f t="shared" si="1"/>
        <v>10</v>
      </c>
      <c r="P25" s="14">
        <v>0.974109</v>
      </c>
      <c r="Q25" s="14">
        <v>0.34483</v>
      </c>
      <c r="R25" s="14">
        <v>-0.62928</v>
      </c>
      <c r="S25" s="12">
        <v>7.0</v>
      </c>
      <c r="T25" s="12" t="s">
        <v>26</v>
      </c>
      <c r="U25" s="12" t="s">
        <v>99</v>
      </c>
      <c r="V25" s="12" t="str">
        <f>G25 &amp; "para " &amp; M25 &amp; " yardas, " &amp; N25</f>
        <v>Alejandro Cruz para 0 yardas, 2do down</v>
      </c>
      <c r="W25" s="10">
        <f t="shared" ref="W25:X25" si="10">W24</f>
        <v>0</v>
      </c>
      <c r="X25" s="10">
        <f t="shared" si="10"/>
        <v>9</v>
      </c>
      <c r="Y25" s="12"/>
      <c r="Z25" s="12"/>
      <c r="AA25" s="12"/>
      <c r="AB25" s="12"/>
      <c r="AC25" s="12"/>
      <c r="AD25" s="12"/>
    </row>
    <row r="26" ht="14.25" customHeight="1">
      <c r="A26" s="11">
        <v>1.0</v>
      </c>
      <c r="B26" s="12" t="s">
        <v>28</v>
      </c>
      <c r="C26" s="12">
        <v>15.0</v>
      </c>
      <c r="D26" s="11" t="s">
        <v>51</v>
      </c>
      <c r="E26" s="12" t="s">
        <v>28</v>
      </c>
      <c r="F26" s="12">
        <v>4.0</v>
      </c>
      <c r="G26" s="11" t="s">
        <v>52</v>
      </c>
      <c r="H26" s="12" t="s">
        <v>53</v>
      </c>
      <c r="I26" s="12" t="s">
        <v>58</v>
      </c>
      <c r="J26" s="12">
        <f>J25-M25</f>
        <v>10</v>
      </c>
      <c r="K26" s="12">
        <v>26.0</v>
      </c>
      <c r="L26" s="12">
        <v>46.0</v>
      </c>
      <c r="M26" s="12">
        <v>20.0</v>
      </c>
      <c r="N26" s="12" t="s">
        <v>48</v>
      </c>
      <c r="O26" s="12">
        <f t="shared" si="1"/>
        <v>10</v>
      </c>
      <c r="P26" s="14">
        <v>0.34483</v>
      </c>
      <c r="Q26" s="14">
        <v>2.468226</v>
      </c>
      <c r="R26" s="14">
        <v>2.123396</v>
      </c>
      <c r="S26" s="12" t="s">
        <v>27</v>
      </c>
      <c r="T26" s="12" t="s">
        <v>27</v>
      </c>
      <c r="U26" s="12" t="s">
        <v>27</v>
      </c>
      <c r="V26" s="12" t="str">
        <f t="shared" ref="V26:V27" si="12">D26 &amp; H26 &amp; " completo para " &amp;G26 &amp; "para " &amp; M26 &amp; " yardas" </f>
        <v>Fernando Sarabia Pase completo para Víctor Palacios para 20 yardas</v>
      </c>
      <c r="W26" s="10">
        <f t="shared" ref="W26:X26" si="11">W25</f>
        <v>0</v>
      </c>
      <c r="X26" s="10">
        <f t="shared" si="11"/>
        <v>9</v>
      </c>
      <c r="Y26" s="12"/>
      <c r="Z26" s="12"/>
      <c r="AA26" s="12"/>
      <c r="AB26" s="12"/>
      <c r="AC26" s="12"/>
      <c r="AD26" s="12"/>
    </row>
    <row r="27" ht="14.25" customHeight="1">
      <c r="A27" s="11">
        <v>1.0</v>
      </c>
      <c r="B27" s="12" t="s">
        <v>28</v>
      </c>
      <c r="C27" s="12">
        <v>15.0</v>
      </c>
      <c r="D27" s="11" t="s">
        <v>51</v>
      </c>
      <c r="E27" s="12" t="s">
        <v>28</v>
      </c>
      <c r="F27" s="12">
        <v>82.0</v>
      </c>
      <c r="G27" s="11" t="s">
        <v>102</v>
      </c>
      <c r="H27" s="12" t="s">
        <v>53</v>
      </c>
      <c r="I27" s="12" t="s">
        <v>39</v>
      </c>
      <c r="J27" s="10">
        <v>10.0</v>
      </c>
      <c r="K27" s="12">
        <v>46.0</v>
      </c>
      <c r="L27" s="12">
        <v>-38.0</v>
      </c>
      <c r="M27" s="12">
        <v>16.0</v>
      </c>
      <c r="N27" s="12" t="s">
        <v>48</v>
      </c>
      <c r="O27" s="12">
        <f t="shared" si="1"/>
        <v>10</v>
      </c>
      <c r="P27" s="14">
        <v>2.468226</v>
      </c>
      <c r="Q27" s="14">
        <v>3.381307</v>
      </c>
      <c r="R27" s="14">
        <v>0.913081</v>
      </c>
      <c r="S27" s="12">
        <v>0.0</v>
      </c>
      <c r="T27" s="12" t="s">
        <v>26</v>
      </c>
      <c r="U27" s="12" t="s">
        <v>103</v>
      </c>
      <c r="V27" s="12" t="str">
        <f t="shared" si="12"/>
        <v>Fernando Sarabia Pase completo para Mauricio Santos para 16 yardas</v>
      </c>
      <c r="W27" s="10">
        <f t="shared" ref="W27:X27" si="13">W26</f>
        <v>0</v>
      </c>
      <c r="X27" s="10">
        <f t="shared" si="13"/>
        <v>9</v>
      </c>
      <c r="Y27" s="12"/>
      <c r="Z27" s="12"/>
      <c r="AA27" s="12"/>
      <c r="AB27" s="12"/>
      <c r="AC27" s="12"/>
      <c r="AD27" s="12"/>
    </row>
    <row r="28" ht="14.25" customHeight="1">
      <c r="A28" s="11">
        <v>1.0</v>
      </c>
      <c r="B28" s="12" t="s">
        <v>28</v>
      </c>
      <c r="C28" s="12">
        <v>15.0</v>
      </c>
      <c r="D28" s="11" t="s">
        <v>51</v>
      </c>
      <c r="E28" s="12" t="s">
        <v>28</v>
      </c>
      <c r="F28" s="12">
        <v>15.0</v>
      </c>
      <c r="G28" s="11" t="s">
        <v>51</v>
      </c>
      <c r="H28" s="12" t="s">
        <v>38</v>
      </c>
      <c r="I28" s="12" t="s">
        <v>39</v>
      </c>
      <c r="J28" s="10">
        <v>10.0</v>
      </c>
      <c r="K28" s="12">
        <v>-38.0</v>
      </c>
      <c r="L28" s="12">
        <v>-29.0</v>
      </c>
      <c r="M28" s="12">
        <v>9.0</v>
      </c>
      <c r="N28" s="12" t="s">
        <v>54</v>
      </c>
      <c r="O28" s="12">
        <f t="shared" si="1"/>
        <v>1</v>
      </c>
      <c r="P28" s="14">
        <v>3.381307</v>
      </c>
      <c r="Q28" s="14">
        <v>3.978036</v>
      </c>
      <c r="R28" s="14">
        <v>0.596729</v>
      </c>
      <c r="S28" s="12">
        <v>35.0</v>
      </c>
      <c r="T28" s="12" t="s">
        <v>26</v>
      </c>
      <c r="U28" s="12" t="s">
        <v>55</v>
      </c>
      <c r="V28" s="12" t="str">
        <f>G28 &amp; "para " &amp; M28 &amp; " yardas"</f>
        <v>Fernando Sarabia para 9 yardas</v>
      </c>
      <c r="W28" s="10">
        <f t="shared" ref="W28:X28" si="14">W27</f>
        <v>0</v>
      </c>
      <c r="X28" s="10">
        <f t="shared" si="14"/>
        <v>9</v>
      </c>
      <c r="Y28" s="12"/>
      <c r="Z28" s="12"/>
      <c r="AA28" s="12"/>
      <c r="AB28" s="12"/>
      <c r="AC28" s="12"/>
      <c r="AD28" s="12"/>
    </row>
    <row r="29" ht="14.25" customHeight="1">
      <c r="A29" s="11">
        <v>1.0</v>
      </c>
      <c r="B29" s="12" t="s">
        <v>28</v>
      </c>
      <c r="C29" s="12" t="s">
        <v>27</v>
      </c>
      <c r="D29" s="12" t="s">
        <v>27</v>
      </c>
      <c r="E29" s="12" t="s">
        <v>28</v>
      </c>
      <c r="F29" s="12" t="s">
        <v>27</v>
      </c>
      <c r="G29" s="12" t="s">
        <v>27</v>
      </c>
      <c r="H29" s="12" t="s">
        <v>106</v>
      </c>
      <c r="I29" s="12" t="s">
        <v>58</v>
      </c>
      <c r="J29" s="12">
        <f t="shared" ref="J29:J30" si="16">J28-M28</f>
        <v>1</v>
      </c>
      <c r="K29" s="12">
        <v>-29.0</v>
      </c>
      <c r="L29" s="12">
        <v>-34.0</v>
      </c>
      <c r="M29" s="12">
        <v>-5.0</v>
      </c>
      <c r="N29" s="12" t="s">
        <v>54</v>
      </c>
      <c r="O29" s="12">
        <f t="shared" si="1"/>
        <v>6</v>
      </c>
      <c r="P29" s="14">
        <v>3.978036</v>
      </c>
      <c r="Q29" s="14">
        <v>3.430596</v>
      </c>
      <c r="R29" s="14">
        <v>-0.54744</v>
      </c>
      <c r="S29" s="12" t="s">
        <v>27</v>
      </c>
      <c r="T29" s="12" t="s">
        <v>27</v>
      </c>
      <c r="U29" s="12" t="s">
        <v>27</v>
      </c>
      <c r="V29" s="12" t="str">
        <f>H29 &amp; ", " &amp; M29 &amp; " yardas"</f>
        <v>Castigo a la ofensiva, -5 yardas</v>
      </c>
      <c r="W29" s="10">
        <f t="shared" ref="W29:X29" si="15">W28</f>
        <v>0</v>
      </c>
      <c r="X29" s="10">
        <f t="shared" si="15"/>
        <v>9</v>
      </c>
      <c r="Y29" s="12"/>
      <c r="Z29" s="12"/>
      <c r="AA29" s="12"/>
      <c r="AB29" s="12"/>
      <c r="AC29" s="12"/>
      <c r="AD29" s="12"/>
    </row>
    <row r="30" ht="14.25" customHeight="1">
      <c r="A30" s="11">
        <v>1.0</v>
      </c>
      <c r="B30" s="12" t="s">
        <v>28</v>
      </c>
      <c r="C30" s="12">
        <v>15.0</v>
      </c>
      <c r="D30" s="11" t="s">
        <v>51</v>
      </c>
      <c r="E30" s="12" t="s">
        <v>26</v>
      </c>
      <c r="F30" s="12">
        <v>35.0</v>
      </c>
      <c r="G30" s="12" t="s">
        <v>55</v>
      </c>
      <c r="H30" s="12" t="s">
        <v>108</v>
      </c>
      <c r="I30" s="12" t="s">
        <v>58</v>
      </c>
      <c r="J30" s="12">
        <f t="shared" si="16"/>
        <v>6</v>
      </c>
      <c r="K30" s="12">
        <v>-34.0</v>
      </c>
      <c r="L30" s="12">
        <v>-24.0</v>
      </c>
      <c r="M30" s="12">
        <v>10.0</v>
      </c>
      <c r="N30" s="12" t="s">
        <v>109</v>
      </c>
      <c r="O30" s="12" t="str">
        <f t="shared" si="1"/>
        <v/>
      </c>
      <c r="P30" s="14">
        <v>3.430596</v>
      </c>
      <c r="Q30" s="13">
        <v>-1.86</v>
      </c>
      <c r="R30" s="14">
        <f>Q30-P30</f>
        <v>-5.290596</v>
      </c>
      <c r="S30" s="12">
        <v>11.0</v>
      </c>
      <c r="T30" s="12" t="s">
        <v>28</v>
      </c>
      <c r="U30" s="12" t="s">
        <v>110</v>
      </c>
      <c r="V30" s="12" t="str">
        <f>D30 &amp; H30 &amp; " por " &amp; G30</f>
        <v>Fernando Sarabia Pase INT por Juan Pablo Mandujano Castruita</v>
      </c>
      <c r="W30" s="10">
        <f t="shared" ref="W30:X30" si="17">W29</f>
        <v>0</v>
      </c>
      <c r="X30" s="10">
        <f t="shared" si="17"/>
        <v>9</v>
      </c>
      <c r="Y30" s="12"/>
      <c r="Z30" s="12"/>
      <c r="AA30" s="12"/>
      <c r="AB30" s="12"/>
      <c r="AC30" s="12"/>
      <c r="AD30" s="12"/>
    </row>
    <row r="31" ht="14.25" customHeight="1">
      <c r="A31" s="11">
        <v>1.0</v>
      </c>
      <c r="B31" s="12" t="s">
        <v>26</v>
      </c>
      <c r="C31" s="12" t="s">
        <v>27</v>
      </c>
      <c r="D31" s="12" t="s">
        <v>27</v>
      </c>
      <c r="E31" s="12" t="s">
        <v>26</v>
      </c>
      <c r="F31" s="12">
        <v>35.0</v>
      </c>
      <c r="G31" s="12" t="s">
        <v>55</v>
      </c>
      <c r="H31" s="12" t="s">
        <v>256</v>
      </c>
      <c r="I31" s="12" t="s">
        <v>27</v>
      </c>
      <c r="J31" s="12"/>
      <c r="K31" s="12">
        <v>24.0</v>
      </c>
      <c r="L31" s="12">
        <v>37.0</v>
      </c>
      <c r="M31" s="12">
        <v>13.0</v>
      </c>
      <c r="N31" s="12" t="s">
        <v>48</v>
      </c>
      <c r="O31" s="12">
        <f t="shared" si="1"/>
        <v>10</v>
      </c>
      <c r="P31" s="15"/>
      <c r="Q31" s="15"/>
      <c r="R31" s="14">
        <v>0.0</v>
      </c>
      <c r="S31" s="12" t="s">
        <v>27</v>
      </c>
      <c r="T31" s="12" t="s">
        <v>27</v>
      </c>
      <c r="U31" s="12" t="s">
        <v>27</v>
      </c>
      <c r="V31" s="12"/>
      <c r="W31" s="10">
        <f t="shared" ref="W31:X31" si="18">W30</f>
        <v>0</v>
      </c>
      <c r="X31" s="10">
        <f t="shared" si="18"/>
        <v>9</v>
      </c>
      <c r="Y31" s="12"/>
      <c r="Z31" s="12"/>
      <c r="AA31" s="12"/>
      <c r="AB31" s="12"/>
      <c r="AC31" s="12"/>
      <c r="AD31" s="12"/>
    </row>
    <row r="32" ht="14.25" customHeight="1">
      <c r="A32" s="11">
        <v>1.0</v>
      </c>
      <c r="B32" s="12" t="s">
        <v>26</v>
      </c>
      <c r="C32" s="12">
        <v>10.0</v>
      </c>
      <c r="D32" s="11" t="s">
        <v>34</v>
      </c>
      <c r="E32" s="12" t="s">
        <v>26</v>
      </c>
      <c r="F32" s="12">
        <v>31.0</v>
      </c>
      <c r="G32" s="11" t="s">
        <v>35</v>
      </c>
      <c r="H32" s="12" t="s">
        <v>38</v>
      </c>
      <c r="I32" s="12" t="s">
        <v>39</v>
      </c>
      <c r="J32" s="10">
        <v>10.0</v>
      </c>
      <c r="K32" s="12">
        <v>37.0</v>
      </c>
      <c r="L32" s="12">
        <v>41.0</v>
      </c>
      <c r="M32" s="12">
        <v>4.0</v>
      </c>
      <c r="N32" s="12" t="s">
        <v>54</v>
      </c>
      <c r="O32" s="12">
        <f t="shared" si="1"/>
        <v>6</v>
      </c>
      <c r="P32" s="14">
        <v>1.857162</v>
      </c>
      <c r="Q32" s="14">
        <v>1.80272</v>
      </c>
      <c r="R32" s="14">
        <v>-0.05444</v>
      </c>
      <c r="S32" s="12">
        <v>3.0</v>
      </c>
      <c r="T32" s="12" t="s">
        <v>28</v>
      </c>
      <c r="U32" s="12" t="s">
        <v>112</v>
      </c>
      <c r="V32" s="12" t="str">
        <f t="shared" ref="V32:V33" si="20">G32 &amp; "para " &amp; M32 &amp; " yardas, " &amp; N32</f>
        <v>Ángel Alvarado para 4 yardas, 2do down</v>
      </c>
      <c r="W32" s="10">
        <f t="shared" ref="W32:X32" si="19">W31</f>
        <v>0</v>
      </c>
      <c r="X32" s="10">
        <f t="shared" si="19"/>
        <v>9</v>
      </c>
      <c r="Y32" s="12"/>
      <c r="Z32" s="12"/>
      <c r="AA32" s="12"/>
      <c r="AB32" s="12"/>
      <c r="AC32" s="12"/>
      <c r="AD32" s="12"/>
    </row>
    <row r="33" ht="14.25" customHeight="1">
      <c r="A33" s="11">
        <v>1.0</v>
      </c>
      <c r="B33" s="12" t="s">
        <v>26</v>
      </c>
      <c r="C33" s="12">
        <v>10.0</v>
      </c>
      <c r="D33" s="11" t="s">
        <v>34</v>
      </c>
      <c r="E33" s="12" t="s">
        <v>26</v>
      </c>
      <c r="F33" s="12">
        <v>31.0</v>
      </c>
      <c r="G33" s="11" t="s">
        <v>35</v>
      </c>
      <c r="H33" s="12" t="s">
        <v>38</v>
      </c>
      <c r="I33" s="12" t="s">
        <v>58</v>
      </c>
      <c r="J33" s="12">
        <f t="shared" ref="J33:J35" si="22">J32-M32</f>
        <v>6</v>
      </c>
      <c r="K33" s="12">
        <v>41.0</v>
      </c>
      <c r="L33" s="12">
        <v>43.0</v>
      </c>
      <c r="M33" s="12">
        <v>2.0</v>
      </c>
      <c r="N33" s="12" t="s">
        <v>64</v>
      </c>
      <c r="O33" s="12">
        <f t="shared" si="1"/>
        <v>4</v>
      </c>
      <c r="P33" s="14">
        <v>1.80272</v>
      </c>
      <c r="Q33" s="14">
        <v>1.363791</v>
      </c>
      <c r="R33" s="14">
        <v>-0.43893</v>
      </c>
      <c r="S33" s="12">
        <v>10.0</v>
      </c>
      <c r="T33" s="12" t="s">
        <v>28</v>
      </c>
      <c r="U33" s="12" t="s">
        <v>114</v>
      </c>
      <c r="V33" s="12" t="str">
        <f t="shared" si="20"/>
        <v>Ángel Alvarado para 2 yardas, 3er down</v>
      </c>
      <c r="W33" s="10">
        <f t="shared" ref="W33:X33" si="21">W32</f>
        <v>0</v>
      </c>
      <c r="X33" s="10">
        <f t="shared" si="21"/>
        <v>9</v>
      </c>
      <c r="Y33" s="12"/>
      <c r="Z33" s="12"/>
      <c r="AA33" s="12"/>
      <c r="AB33" s="12"/>
      <c r="AC33" s="12"/>
      <c r="AD33" s="12"/>
    </row>
    <row r="34" ht="14.25" customHeight="1">
      <c r="A34" s="11">
        <v>1.0</v>
      </c>
      <c r="B34" s="12" t="s">
        <v>26</v>
      </c>
      <c r="C34" s="12">
        <v>10.0</v>
      </c>
      <c r="D34" s="11" t="s">
        <v>34</v>
      </c>
      <c r="E34" s="12" t="s">
        <v>26</v>
      </c>
      <c r="F34" s="12">
        <v>82.0</v>
      </c>
      <c r="G34" s="11" t="s">
        <v>116</v>
      </c>
      <c r="H34" s="12" t="s">
        <v>117</v>
      </c>
      <c r="I34" s="12" t="s">
        <v>69</v>
      </c>
      <c r="J34" s="12">
        <f t="shared" si="22"/>
        <v>4</v>
      </c>
      <c r="K34" s="12">
        <v>43.0</v>
      </c>
      <c r="L34" s="12">
        <v>43.0</v>
      </c>
      <c r="M34" s="12">
        <v>0.0</v>
      </c>
      <c r="N34" s="12" t="s">
        <v>70</v>
      </c>
      <c r="O34" s="12">
        <f t="shared" si="1"/>
        <v>4</v>
      </c>
      <c r="P34" s="14">
        <v>1.363791</v>
      </c>
      <c r="Q34" s="14">
        <v>-0.27436</v>
      </c>
      <c r="R34" s="14">
        <v>-1.63815</v>
      </c>
      <c r="S34" s="12" t="s">
        <v>27</v>
      </c>
      <c r="T34" s="12" t="s">
        <v>27</v>
      </c>
      <c r="U34" s="12" t="s">
        <v>27</v>
      </c>
      <c r="V34" s="12" t="str">
        <f>D34 &amp; H34 &amp; " intencionado para " &amp; G34</f>
        <v>Sergio Resendiz Pase incompleto intencionado para Marco Vinicio García </v>
      </c>
      <c r="W34" s="10">
        <f t="shared" ref="W34:X34" si="23">W33</f>
        <v>0</v>
      </c>
      <c r="X34" s="10">
        <f t="shared" si="23"/>
        <v>9</v>
      </c>
      <c r="Y34" s="12"/>
      <c r="Z34" s="12"/>
      <c r="AA34" s="12"/>
      <c r="AB34" s="12"/>
      <c r="AC34" s="12"/>
      <c r="AD34" s="12"/>
    </row>
    <row r="35" ht="14.25" customHeight="1">
      <c r="A35" s="11">
        <v>1.0</v>
      </c>
      <c r="B35" s="12" t="s">
        <v>26</v>
      </c>
      <c r="C35" s="12" t="s">
        <v>27</v>
      </c>
      <c r="D35" s="12" t="s">
        <v>27</v>
      </c>
      <c r="E35" s="12" t="s">
        <v>26</v>
      </c>
      <c r="F35" s="12">
        <v>8.0</v>
      </c>
      <c r="G35" s="11" t="s">
        <v>119</v>
      </c>
      <c r="H35" s="12" t="s">
        <v>73</v>
      </c>
      <c r="I35" s="12" t="s">
        <v>74</v>
      </c>
      <c r="J35" s="12">
        <f t="shared" si="22"/>
        <v>4</v>
      </c>
      <c r="K35" s="12">
        <v>29.0</v>
      </c>
      <c r="L35" s="12">
        <v>-22.0</v>
      </c>
      <c r="M35" s="12">
        <v>49.0</v>
      </c>
      <c r="N35" s="12" t="s">
        <v>75</v>
      </c>
      <c r="O35" s="12" t="str">
        <f t="shared" si="1"/>
        <v/>
      </c>
      <c r="P35" s="14">
        <v>-0.27436</v>
      </c>
      <c r="Q35" s="14">
        <v>0.16983</v>
      </c>
      <c r="R35" s="14">
        <f>Q35-P35</f>
        <v>0.44419</v>
      </c>
      <c r="S35" s="12" t="s">
        <v>27</v>
      </c>
      <c r="T35" s="12" t="s">
        <v>27</v>
      </c>
      <c r="U35" s="12" t="s">
        <v>27</v>
      </c>
      <c r="V35" s="12" t="str">
        <f>G35 &amp; H35 &amp; " " &amp; M35 &amp; " yardas, " &amp; N35</f>
        <v>Luis Ángel Olvera Punt 49 yardas, Recepción libre</v>
      </c>
      <c r="W35" s="10">
        <f t="shared" ref="W35:X35" si="24">W34</f>
        <v>0</v>
      </c>
      <c r="X35" s="10">
        <f t="shared" si="24"/>
        <v>9</v>
      </c>
      <c r="Y35" s="12"/>
      <c r="Z35" s="12"/>
      <c r="AA35" s="12"/>
      <c r="AB35" s="12"/>
      <c r="AC35" s="12"/>
      <c r="AD35" s="12"/>
    </row>
    <row r="36" ht="14.25" customHeight="1">
      <c r="A36" s="11">
        <v>1.0</v>
      </c>
      <c r="B36" s="12" t="s">
        <v>28</v>
      </c>
      <c r="C36" s="12" t="s">
        <v>27</v>
      </c>
      <c r="D36" s="12" t="s">
        <v>27</v>
      </c>
      <c r="E36" s="12" t="s">
        <v>28</v>
      </c>
      <c r="F36" s="12" t="s">
        <v>27</v>
      </c>
      <c r="G36" s="12" t="s">
        <v>27</v>
      </c>
      <c r="H36" s="12" t="s">
        <v>106</v>
      </c>
      <c r="I36" s="12" t="s">
        <v>39</v>
      </c>
      <c r="J36" s="10"/>
      <c r="K36" s="12">
        <v>22.0</v>
      </c>
      <c r="L36" s="12">
        <v>12.0</v>
      </c>
      <c r="M36" s="12">
        <v>-10.0</v>
      </c>
      <c r="N36" s="12" t="s">
        <v>48</v>
      </c>
      <c r="O36" s="12">
        <f t="shared" si="1"/>
        <v>10</v>
      </c>
      <c r="P36" s="14"/>
      <c r="Q36" s="14"/>
      <c r="R36" s="14"/>
      <c r="S36" s="12" t="s">
        <v>27</v>
      </c>
      <c r="T36" s="12" t="s">
        <v>27</v>
      </c>
      <c r="U36" s="12" t="s">
        <v>27</v>
      </c>
      <c r="V36" s="12" t="str">
        <f>H36 &amp; ", " &amp; M36 &amp; " yardas"</f>
        <v>Castigo a la ofensiva, -10 yardas</v>
      </c>
      <c r="W36" s="10">
        <f t="shared" ref="W36:X36" si="25">W35</f>
        <v>0</v>
      </c>
      <c r="X36" s="10">
        <f t="shared" si="25"/>
        <v>9</v>
      </c>
      <c r="Y36" s="12"/>
      <c r="Z36" s="12"/>
      <c r="AA36" s="12"/>
      <c r="AB36" s="12"/>
      <c r="AC36" s="12"/>
      <c r="AD36" s="12"/>
    </row>
    <row r="37" ht="14.25" customHeight="1">
      <c r="A37" s="11">
        <v>2.0</v>
      </c>
      <c r="B37" s="12" t="s">
        <v>28</v>
      </c>
      <c r="C37" s="12">
        <v>15.0</v>
      </c>
      <c r="D37" s="11" t="s">
        <v>51</v>
      </c>
      <c r="E37" s="12" t="s">
        <v>28</v>
      </c>
      <c r="F37" s="12">
        <v>16.0</v>
      </c>
      <c r="G37" s="11" t="s">
        <v>57</v>
      </c>
      <c r="H37" s="12" t="s">
        <v>53</v>
      </c>
      <c r="I37" s="12" t="s">
        <v>39</v>
      </c>
      <c r="J37" s="12">
        <f>J36-M36</f>
        <v>10</v>
      </c>
      <c r="K37" s="12">
        <v>12.0</v>
      </c>
      <c r="L37" s="12">
        <v>24.0</v>
      </c>
      <c r="M37" s="12">
        <v>12.0</v>
      </c>
      <c r="N37" s="12" t="s">
        <v>48</v>
      </c>
      <c r="O37" s="12">
        <f t="shared" si="1"/>
        <v>10</v>
      </c>
      <c r="P37" s="14">
        <v>-0.16983</v>
      </c>
      <c r="Q37" s="14">
        <v>0.806996</v>
      </c>
      <c r="R37" s="14">
        <v>0.976827</v>
      </c>
      <c r="S37" s="12" t="s">
        <v>27</v>
      </c>
      <c r="T37" s="12" t="s">
        <v>27</v>
      </c>
      <c r="U37" s="12" t="s">
        <v>27</v>
      </c>
      <c r="V37" s="12" t="str">
        <f>D37 &amp; H37 &amp; " completo para " &amp;G37 &amp; "para " &amp; M37 &amp; " yardas" </f>
        <v>Fernando Sarabia Pase completo para Miguel Ángel Lozano para 12 yardas</v>
      </c>
      <c r="W37" s="10">
        <f t="shared" ref="W37:X37" si="26">W36</f>
        <v>0</v>
      </c>
      <c r="X37" s="10">
        <f t="shared" si="26"/>
        <v>9</v>
      </c>
      <c r="Y37" s="12"/>
      <c r="Z37" s="12"/>
      <c r="AA37" s="12"/>
      <c r="AB37" s="12"/>
      <c r="AC37" s="12"/>
      <c r="AD37" s="12"/>
    </row>
    <row r="38" ht="14.25" customHeight="1">
      <c r="A38" s="11">
        <v>2.0</v>
      </c>
      <c r="B38" s="12" t="s">
        <v>28</v>
      </c>
      <c r="C38" s="12">
        <v>15.0</v>
      </c>
      <c r="D38" s="11" t="s">
        <v>51</v>
      </c>
      <c r="E38" s="12" t="s">
        <v>28</v>
      </c>
      <c r="F38" s="12">
        <v>23.0</v>
      </c>
      <c r="G38" s="11" t="s">
        <v>61</v>
      </c>
      <c r="H38" s="12" t="s">
        <v>38</v>
      </c>
      <c r="I38" s="12" t="s">
        <v>39</v>
      </c>
      <c r="J38" s="10">
        <v>10.0</v>
      </c>
      <c r="K38" s="12">
        <v>24.0</v>
      </c>
      <c r="L38" s="12">
        <v>25.0</v>
      </c>
      <c r="M38" s="12">
        <v>1.0</v>
      </c>
      <c r="N38" s="12" t="s">
        <v>54</v>
      </c>
      <c r="O38" s="12">
        <f t="shared" si="1"/>
        <v>9</v>
      </c>
      <c r="P38" s="14">
        <v>0.806996</v>
      </c>
      <c r="Q38" s="14">
        <v>0.29186</v>
      </c>
      <c r="R38" s="14">
        <v>-0.51514</v>
      </c>
      <c r="S38" s="12">
        <v>97.0</v>
      </c>
      <c r="T38" s="12" t="s">
        <v>26</v>
      </c>
      <c r="U38" s="12" t="s">
        <v>123</v>
      </c>
      <c r="V38" s="12" t="str">
        <f t="shared" ref="V38:V39" si="28">G38 &amp; "para " &amp; M38 &amp; " yardas, " &amp; N38</f>
        <v>Alejandro Cruz para 1 yardas, 2do down</v>
      </c>
      <c r="W38" s="10">
        <f t="shared" ref="W38:X38" si="27">W37</f>
        <v>0</v>
      </c>
      <c r="X38" s="10">
        <f t="shared" si="27"/>
        <v>9</v>
      </c>
      <c r="Y38" s="12"/>
      <c r="Z38" s="12"/>
      <c r="AA38" s="12"/>
      <c r="AB38" s="12"/>
      <c r="AC38" s="12"/>
      <c r="AD38" s="12"/>
    </row>
    <row r="39" ht="14.25" customHeight="1">
      <c r="A39" s="11">
        <v>2.0</v>
      </c>
      <c r="B39" s="12" t="s">
        <v>28</v>
      </c>
      <c r="C39" s="12">
        <v>15.0</v>
      </c>
      <c r="D39" s="11" t="s">
        <v>51</v>
      </c>
      <c r="E39" s="12" t="s">
        <v>28</v>
      </c>
      <c r="F39" s="12">
        <v>15.0</v>
      </c>
      <c r="G39" s="11" t="s">
        <v>51</v>
      </c>
      <c r="H39" s="12" t="s">
        <v>38</v>
      </c>
      <c r="I39" s="12" t="s">
        <v>58</v>
      </c>
      <c r="J39" s="12">
        <f t="shared" ref="J39:J41" si="30">J38-M38</f>
        <v>9</v>
      </c>
      <c r="K39" s="12">
        <v>25.0</v>
      </c>
      <c r="L39" s="12">
        <v>29.0</v>
      </c>
      <c r="M39" s="12">
        <v>4.0</v>
      </c>
      <c r="N39" s="12" t="s">
        <v>64</v>
      </c>
      <c r="O39" s="12">
        <f t="shared" si="1"/>
        <v>5</v>
      </c>
      <c r="P39" s="14">
        <v>0.29186</v>
      </c>
      <c r="Q39" s="14">
        <v>0.10563</v>
      </c>
      <c r="R39" s="14">
        <v>-0.18623</v>
      </c>
      <c r="S39" s="12">
        <v>11.0</v>
      </c>
      <c r="T39" s="12" t="s">
        <v>26</v>
      </c>
      <c r="U39" s="12" t="s">
        <v>125</v>
      </c>
      <c r="V39" s="12" t="str">
        <f t="shared" si="28"/>
        <v>Fernando Sarabia para 4 yardas, 3er down</v>
      </c>
      <c r="W39" s="10">
        <f t="shared" ref="W39:X39" si="29">W38</f>
        <v>0</v>
      </c>
      <c r="X39" s="10">
        <f t="shared" si="29"/>
        <v>9</v>
      </c>
      <c r="Y39" s="12"/>
      <c r="Z39" s="12"/>
      <c r="AA39" s="12"/>
      <c r="AB39" s="12"/>
      <c r="AC39" s="12"/>
      <c r="AD39" s="12"/>
    </row>
    <row r="40" ht="14.25" customHeight="1">
      <c r="A40" s="11">
        <v>2.0</v>
      </c>
      <c r="B40" s="12" t="s">
        <v>28</v>
      </c>
      <c r="C40" s="12">
        <v>15.0</v>
      </c>
      <c r="D40" s="11" t="s">
        <v>51</v>
      </c>
      <c r="E40" s="12" t="s">
        <v>28</v>
      </c>
      <c r="F40" s="12">
        <v>4.0</v>
      </c>
      <c r="G40" s="11" t="s">
        <v>52</v>
      </c>
      <c r="H40" s="12" t="s">
        <v>117</v>
      </c>
      <c r="I40" s="12" t="s">
        <v>69</v>
      </c>
      <c r="J40" s="12">
        <f t="shared" si="30"/>
        <v>5</v>
      </c>
      <c r="K40" s="12">
        <v>29.0</v>
      </c>
      <c r="L40" s="12">
        <v>29.0</v>
      </c>
      <c r="M40" s="12">
        <v>0.0</v>
      </c>
      <c r="N40" s="12" t="s">
        <v>70</v>
      </c>
      <c r="O40" s="12">
        <f t="shared" si="1"/>
        <v>5</v>
      </c>
      <c r="P40" s="14">
        <v>0.10563</v>
      </c>
      <c r="Q40" s="14">
        <v>-1.53564</v>
      </c>
      <c r="R40" s="14">
        <v>-1.64127</v>
      </c>
      <c r="S40" s="12" t="s">
        <v>27</v>
      </c>
      <c r="T40" s="12" t="s">
        <v>27</v>
      </c>
      <c r="U40" s="12" t="s">
        <v>27</v>
      </c>
      <c r="V40" s="12" t="str">
        <f>D40 &amp; H40 &amp; " intencionado para " &amp; G40</f>
        <v>Fernando Sarabia Pase incompleto intencionado para Víctor Palacios </v>
      </c>
      <c r="W40" s="10">
        <f t="shared" ref="W40:X40" si="31">W39</f>
        <v>0</v>
      </c>
      <c r="X40" s="10">
        <f t="shared" si="31"/>
        <v>9</v>
      </c>
      <c r="Y40" s="12"/>
      <c r="Z40" s="12"/>
      <c r="AA40" s="12"/>
      <c r="AB40" s="12"/>
      <c r="AC40" s="12"/>
      <c r="AD40" s="12"/>
    </row>
    <row r="41" ht="14.25" customHeight="1">
      <c r="A41" s="11">
        <v>2.0</v>
      </c>
      <c r="B41" s="12" t="s">
        <v>28</v>
      </c>
      <c r="C41" s="12" t="s">
        <v>27</v>
      </c>
      <c r="D41" s="12" t="s">
        <v>27</v>
      </c>
      <c r="E41" s="12" t="s">
        <v>28</v>
      </c>
      <c r="F41" s="12">
        <v>87.0</v>
      </c>
      <c r="G41" s="10" t="s">
        <v>72</v>
      </c>
      <c r="H41" s="12" t="s">
        <v>73</v>
      </c>
      <c r="I41" s="12" t="s">
        <v>74</v>
      </c>
      <c r="J41" s="12">
        <f t="shared" si="30"/>
        <v>5</v>
      </c>
      <c r="K41" s="12">
        <v>19.0</v>
      </c>
      <c r="L41" s="12">
        <v>-35.0</v>
      </c>
      <c r="M41" s="12">
        <v>46.0</v>
      </c>
      <c r="N41" s="12" t="s">
        <v>167</v>
      </c>
      <c r="O41" s="12" t="str">
        <f t="shared" si="1"/>
        <v/>
      </c>
      <c r="P41" s="14">
        <v>-1.53564</v>
      </c>
      <c r="Q41" s="14">
        <v>-2.113366</v>
      </c>
      <c r="R41" s="14">
        <f>Q41-P41</f>
        <v>-0.577726</v>
      </c>
      <c r="S41" s="12" t="s">
        <v>27</v>
      </c>
      <c r="T41" s="12" t="s">
        <v>27</v>
      </c>
      <c r="U41" s="12" t="s">
        <v>27</v>
      </c>
      <c r="V41" s="12" t="str">
        <f>G41 &amp; H41 &amp; " " &amp; M41 &amp; " yardas, " &amp; N41 &amp; " de " &amp; G42 &amp; " para " &amp; M42 &amp; " yardas"</f>
        <v>Mauricio Fernández Salazar  Punt 46 yardas, Regreso de Aldo Herrera  para 6 yardas</v>
      </c>
      <c r="W41" s="10">
        <f t="shared" ref="W41:X41" si="32">W40</f>
        <v>0</v>
      </c>
      <c r="X41" s="10">
        <f t="shared" si="32"/>
        <v>9</v>
      </c>
      <c r="Y41" s="12"/>
      <c r="Z41" s="12"/>
      <c r="AA41" s="12"/>
      <c r="AB41" s="12"/>
      <c r="AC41" s="12"/>
      <c r="AD41" s="12"/>
    </row>
    <row r="42" ht="14.25" customHeight="1">
      <c r="A42" s="11">
        <v>2.0</v>
      </c>
      <c r="B42" s="12" t="s">
        <v>26</v>
      </c>
      <c r="C42" s="12" t="s">
        <v>27</v>
      </c>
      <c r="D42" s="12" t="s">
        <v>27</v>
      </c>
      <c r="E42" s="12" t="s">
        <v>26</v>
      </c>
      <c r="F42" s="12">
        <v>3.0</v>
      </c>
      <c r="G42" s="11" t="s">
        <v>128</v>
      </c>
      <c r="H42" s="12" t="s">
        <v>129</v>
      </c>
      <c r="I42" s="12" t="s">
        <v>27</v>
      </c>
      <c r="J42" s="12"/>
      <c r="K42" s="12">
        <v>35.0</v>
      </c>
      <c r="L42" s="12">
        <v>41.0</v>
      </c>
      <c r="M42" s="12">
        <v>6.0</v>
      </c>
      <c r="N42" s="12" t="s">
        <v>48</v>
      </c>
      <c r="O42" s="12">
        <f t="shared" si="1"/>
        <v>10</v>
      </c>
      <c r="P42" s="15"/>
      <c r="Q42" s="15"/>
      <c r="R42" s="14">
        <v>0.0</v>
      </c>
      <c r="S42" s="12">
        <v>45.0</v>
      </c>
      <c r="T42" s="12" t="s">
        <v>28</v>
      </c>
      <c r="U42" s="12" t="s">
        <v>130</v>
      </c>
      <c r="V42" s="12" t="s">
        <v>131</v>
      </c>
      <c r="W42" s="10">
        <f t="shared" ref="W42:X42" si="33">W41</f>
        <v>0</v>
      </c>
      <c r="X42" s="10">
        <f t="shared" si="33"/>
        <v>9</v>
      </c>
      <c r="Y42" s="12"/>
      <c r="Z42" s="12"/>
      <c r="AA42" s="12"/>
      <c r="AB42" s="12"/>
      <c r="AC42" s="12"/>
      <c r="AD42" s="12"/>
    </row>
    <row r="43" ht="14.25" customHeight="1">
      <c r="A43" s="11">
        <v>2.0</v>
      </c>
      <c r="B43" s="12" t="s">
        <v>26</v>
      </c>
      <c r="C43" s="12">
        <v>10.0</v>
      </c>
      <c r="D43" s="11" t="s">
        <v>34</v>
      </c>
      <c r="E43" s="12" t="s">
        <v>26</v>
      </c>
      <c r="F43" s="12">
        <v>31.0</v>
      </c>
      <c r="G43" s="11" t="s">
        <v>35</v>
      </c>
      <c r="H43" s="12" t="s">
        <v>38</v>
      </c>
      <c r="I43" s="12" t="s">
        <v>39</v>
      </c>
      <c r="J43" s="10">
        <v>10.0</v>
      </c>
      <c r="K43" s="12">
        <v>41.0</v>
      </c>
      <c r="L43" s="12">
        <v>43.0</v>
      </c>
      <c r="M43" s="12">
        <v>2.0</v>
      </c>
      <c r="N43" s="12" t="s">
        <v>54</v>
      </c>
      <c r="O43" s="12">
        <f t="shared" si="1"/>
        <v>8</v>
      </c>
      <c r="P43" s="14">
        <v>2.113366</v>
      </c>
      <c r="Q43" s="14">
        <v>1.813973</v>
      </c>
      <c r="R43" s="14">
        <v>-0.29939</v>
      </c>
      <c r="S43" s="12">
        <v>27.0</v>
      </c>
      <c r="T43" s="12" t="s">
        <v>28</v>
      </c>
      <c r="U43" s="12" t="s">
        <v>89</v>
      </c>
      <c r="V43" s="12" t="str">
        <f>G43 &amp; "para " &amp; M43 &amp; " yardas, " &amp; N43</f>
        <v>Ángel Alvarado para 2 yardas, 2do down</v>
      </c>
      <c r="W43" s="10">
        <f t="shared" ref="W43:X43" si="34">W42</f>
        <v>0</v>
      </c>
      <c r="X43" s="10">
        <f t="shared" si="34"/>
        <v>9</v>
      </c>
      <c r="Y43" s="12"/>
      <c r="Z43" s="12"/>
      <c r="AA43" s="12"/>
      <c r="AB43" s="12"/>
      <c r="AC43" s="12"/>
      <c r="AD43" s="12"/>
    </row>
    <row r="44" ht="14.25" customHeight="1">
      <c r="A44" s="11">
        <v>2.0</v>
      </c>
      <c r="B44" s="12" t="s">
        <v>26</v>
      </c>
      <c r="C44" s="12">
        <v>10.0</v>
      </c>
      <c r="D44" s="11" t="s">
        <v>34</v>
      </c>
      <c r="E44" s="12" t="s">
        <v>26</v>
      </c>
      <c r="F44" s="12">
        <v>3.0</v>
      </c>
      <c r="G44" s="11" t="s">
        <v>128</v>
      </c>
      <c r="H44" s="12" t="s">
        <v>117</v>
      </c>
      <c r="I44" s="12" t="s">
        <v>58</v>
      </c>
      <c r="J44" s="12">
        <f t="shared" ref="J44:J45" si="36">J43-M43</f>
        <v>8</v>
      </c>
      <c r="K44" s="12">
        <v>43.0</v>
      </c>
      <c r="L44" s="12">
        <v>43.0</v>
      </c>
      <c r="M44" s="12">
        <v>0.0</v>
      </c>
      <c r="N44" s="12" t="s">
        <v>64</v>
      </c>
      <c r="O44" s="12">
        <f t="shared" si="1"/>
        <v>8</v>
      </c>
      <c r="P44" s="14">
        <v>1.813973</v>
      </c>
      <c r="Q44" s="14">
        <v>0.989085</v>
      </c>
      <c r="R44" s="14">
        <v>-0.82489</v>
      </c>
      <c r="S44" s="12" t="s">
        <v>27</v>
      </c>
      <c r="T44" s="12" t="s">
        <v>27</v>
      </c>
      <c r="U44" s="12" t="s">
        <v>27</v>
      </c>
      <c r="V44" s="12" t="str">
        <f>D44 &amp; H44 &amp; " intencionado para " &amp; G44</f>
        <v>Sergio Resendiz Pase incompleto intencionado para Aldo Herrera </v>
      </c>
      <c r="W44" s="10">
        <f t="shared" ref="W44:X44" si="35">W43</f>
        <v>0</v>
      </c>
      <c r="X44" s="10">
        <f t="shared" si="35"/>
        <v>9</v>
      </c>
      <c r="Y44" s="12"/>
      <c r="Z44" s="12"/>
      <c r="AA44" s="12"/>
      <c r="AB44" s="12"/>
      <c r="AC44" s="12"/>
      <c r="AD44" s="12"/>
    </row>
    <row r="45" ht="14.25" customHeight="1">
      <c r="A45" s="11">
        <v>2.0</v>
      </c>
      <c r="B45" s="12" t="s">
        <v>26</v>
      </c>
      <c r="C45" s="12">
        <v>10.0</v>
      </c>
      <c r="D45" s="11" t="s">
        <v>34</v>
      </c>
      <c r="E45" s="12" t="s">
        <v>26</v>
      </c>
      <c r="F45" s="12">
        <v>8.0</v>
      </c>
      <c r="G45" s="11" t="s">
        <v>119</v>
      </c>
      <c r="H45" s="12" t="s">
        <v>53</v>
      </c>
      <c r="I45" s="12" t="s">
        <v>69</v>
      </c>
      <c r="J45" s="12">
        <f t="shared" si="36"/>
        <v>8</v>
      </c>
      <c r="K45" s="12">
        <v>43.0</v>
      </c>
      <c r="L45" s="12">
        <v>-32.0</v>
      </c>
      <c r="M45" s="12">
        <v>25.0</v>
      </c>
      <c r="N45" s="12" t="s">
        <v>48</v>
      </c>
      <c r="O45" s="12">
        <f t="shared" si="1"/>
        <v>10</v>
      </c>
      <c r="P45" s="14">
        <v>0.989085</v>
      </c>
      <c r="Q45" s="14">
        <v>3.641137</v>
      </c>
      <c r="R45" s="14">
        <v>2.652052</v>
      </c>
      <c r="S45" s="12" t="s">
        <v>27</v>
      </c>
      <c r="T45" s="12" t="s">
        <v>27</v>
      </c>
      <c r="U45" s="12" t="s">
        <v>27</v>
      </c>
      <c r="V45" s="12" t="str">
        <f>D45 &amp; H45 &amp; " completo para " &amp;G45 &amp; "para " &amp; M45 &amp; " yardas" </f>
        <v>Sergio Resendiz Pase completo para Luis Ángel Olvera para 25 yardas</v>
      </c>
      <c r="W45" s="10">
        <f t="shared" ref="W45:X45" si="37">W44</f>
        <v>0</v>
      </c>
      <c r="X45" s="10">
        <f t="shared" si="37"/>
        <v>9</v>
      </c>
      <c r="Y45" s="12"/>
      <c r="Z45" s="12"/>
      <c r="AA45" s="12"/>
      <c r="AB45" s="12"/>
      <c r="AC45" s="12"/>
      <c r="AD45" s="12"/>
    </row>
    <row r="46" ht="14.25" customHeight="1">
      <c r="A46" s="11">
        <v>2.0</v>
      </c>
      <c r="B46" s="12" t="s">
        <v>26</v>
      </c>
      <c r="C46" s="12">
        <v>10.0</v>
      </c>
      <c r="D46" s="11" t="s">
        <v>34</v>
      </c>
      <c r="E46" s="12" t="s">
        <v>26</v>
      </c>
      <c r="F46" s="12">
        <v>31.0</v>
      </c>
      <c r="G46" s="11" t="s">
        <v>35</v>
      </c>
      <c r="H46" s="12" t="s">
        <v>38</v>
      </c>
      <c r="I46" s="12" t="s">
        <v>39</v>
      </c>
      <c r="J46" s="10">
        <v>10.0</v>
      </c>
      <c r="K46" s="12">
        <v>-32.0</v>
      </c>
      <c r="L46" s="12">
        <v>-28.0</v>
      </c>
      <c r="M46" s="12">
        <v>4.0</v>
      </c>
      <c r="N46" s="12" t="s">
        <v>54</v>
      </c>
      <c r="O46" s="12">
        <f t="shared" si="1"/>
        <v>6</v>
      </c>
      <c r="P46" s="14">
        <v>3.641137</v>
      </c>
      <c r="Q46" s="14">
        <v>3.610853</v>
      </c>
      <c r="R46" s="14">
        <v>-0.03028</v>
      </c>
      <c r="S46" s="12">
        <v>2.0</v>
      </c>
      <c r="T46" s="12" t="s">
        <v>28</v>
      </c>
      <c r="U46" s="12" t="s">
        <v>86</v>
      </c>
      <c r="V46" s="12" t="str">
        <f t="shared" ref="V46:V48" si="39">G46 &amp; "para " &amp; M46 &amp; " yardas, " &amp; N46</f>
        <v>Ángel Alvarado para 4 yardas, 2do down</v>
      </c>
      <c r="W46" s="10">
        <f t="shared" ref="W46:X46" si="38">W45</f>
        <v>0</v>
      </c>
      <c r="X46" s="10">
        <f t="shared" si="38"/>
        <v>9</v>
      </c>
      <c r="Y46" s="12"/>
      <c r="Z46" s="12"/>
      <c r="AA46" s="12"/>
      <c r="AB46" s="12"/>
      <c r="AC46" s="12"/>
      <c r="AD46" s="12"/>
    </row>
    <row r="47" ht="14.25" customHeight="1">
      <c r="A47" s="11">
        <v>2.0</v>
      </c>
      <c r="B47" s="12" t="s">
        <v>26</v>
      </c>
      <c r="C47" s="12">
        <v>10.0</v>
      </c>
      <c r="D47" s="11" t="s">
        <v>34</v>
      </c>
      <c r="E47" s="12" t="s">
        <v>26</v>
      </c>
      <c r="F47" s="12">
        <v>10.0</v>
      </c>
      <c r="G47" s="11" t="s">
        <v>34</v>
      </c>
      <c r="H47" s="12" t="s">
        <v>38</v>
      </c>
      <c r="I47" s="12" t="s">
        <v>58</v>
      </c>
      <c r="J47" s="12">
        <f t="shared" ref="J47:J48" si="41">J46-M46</f>
        <v>6</v>
      </c>
      <c r="K47" s="12">
        <v>-28.0</v>
      </c>
      <c r="L47" s="12">
        <v>-23.0</v>
      </c>
      <c r="M47" s="12">
        <v>5.0</v>
      </c>
      <c r="N47" s="12" t="s">
        <v>64</v>
      </c>
      <c r="O47" s="12">
        <f t="shared" si="1"/>
        <v>1</v>
      </c>
      <c r="P47" s="14">
        <v>3.610853</v>
      </c>
      <c r="Q47" s="14">
        <v>3.681476</v>
      </c>
      <c r="R47" s="14">
        <v>0.070623</v>
      </c>
      <c r="S47" s="12">
        <v>79.0</v>
      </c>
      <c r="T47" s="12" t="s">
        <v>28</v>
      </c>
      <c r="U47" s="12" t="s">
        <v>135</v>
      </c>
      <c r="V47" s="12" t="str">
        <f t="shared" si="39"/>
        <v>Sergio Resendiz para 5 yardas, 3er down</v>
      </c>
      <c r="W47" s="10">
        <f t="shared" ref="W47:X47" si="40">W46</f>
        <v>0</v>
      </c>
      <c r="X47" s="10">
        <f t="shared" si="40"/>
        <v>9</v>
      </c>
      <c r="Y47" s="12"/>
      <c r="Z47" s="12"/>
      <c r="AA47" s="12"/>
      <c r="AB47" s="12"/>
      <c r="AC47" s="12"/>
      <c r="AD47" s="12"/>
    </row>
    <row r="48" ht="14.25" customHeight="1">
      <c r="A48" s="11">
        <v>2.0</v>
      </c>
      <c r="B48" s="12" t="s">
        <v>26</v>
      </c>
      <c r="C48" s="12">
        <v>31.0</v>
      </c>
      <c r="D48" s="12" t="s">
        <v>137</v>
      </c>
      <c r="E48" s="12" t="s">
        <v>26</v>
      </c>
      <c r="F48" s="12">
        <v>31.0</v>
      </c>
      <c r="G48" s="11" t="s">
        <v>35</v>
      </c>
      <c r="H48" s="12" t="s">
        <v>38</v>
      </c>
      <c r="I48" s="12" t="s">
        <v>69</v>
      </c>
      <c r="J48" s="12">
        <f t="shared" si="41"/>
        <v>1</v>
      </c>
      <c r="K48" s="12">
        <v>-23.0</v>
      </c>
      <c r="L48" s="12">
        <v>-15.0</v>
      </c>
      <c r="M48" s="12">
        <v>8.0</v>
      </c>
      <c r="N48" s="12" t="s">
        <v>48</v>
      </c>
      <c r="O48" s="12">
        <f t="shared" si="1"/>
        <v>10</v>
      </c>
      <c r="P48" s="14">
        <v>3.681476</v>
      </c>
      <c r="Q48" s="14">
        <v>4.282</v>
      </c>
      <c r="R48" s="14">
        <v>0.600523</v>
      </c>
      <c r="S48" s="12">
        <v>0.0</v>
      </c>
      <c r="T48" s="12" t="s">
        <v>28</v>
      </c>
      <c r="U48" s="12" t="s">
        <v>138</v>
      </c>
      <c r="V48" s="12" t="str">
        <f t="shared" si="39"/>
        <v>Ángel Alvarado para 8 yardas, 1er down</v>
      </c>
      <c r="W48" s="10">
        <f t="shared" ref="W48:X48" si="42">W47</f>
        <v>0</v>
      </c>
      <c r="X48" s="10">
        <f t="shared" si="42"/>
        <v>9</v>
      </c>
      <c r="Y48" s="12"/>
      <c r="Z48" s="12"/>
      <c r="AA48" s="12"/>
      <c r="AB48" s="12"/>
      <c r="AC48" s="12"/>
      <c r="AD48" s="12"/>
    </row>
    <row r="49" ht="14.25" customHeight="1">
      <c r="A49" s="11">
        <v>2.0</v>
      </c>
      <c r="B49" s="12" t="s">
        <v>26</v>
      </c>
      <c r="C49" s="12" t="s">
        <v>27</v>
      </c>
      <c r="D49" s="12" t="s">
        <v>27</v>
      </c>
      <c r="E49" s="12" t="s">
        <v>26</v>
      </c>
      <c r="F49" s="12" t="s">
        <v>27</v>
      </c>
      <c r="G49" s="12" t="s">
        <v>27</v>
      </c>
      <c r="H49" s="12" t="s">
        <v>106</v>
      </c>
      <c r="I49" s="12" t="s">
        <v>39</v>
      </c>
      <c r="J49" s="10">
        <v>10.0</v>
      </c>
      <c r="K49" s="12">
        <v>-15.0</v>
      </c>
      <c r="L49" s="12">
        <v>-20.0</v>
      </c>
      <c r="M49" s="12">
        <v>-5.0</v>
      </c>
      <c r="N49" s="12" t="s">
        <v>48</v>
      </c>
      <c r="O49" s="12">
        <f t="shared" si="1"/>
        <v>15</v>
      </c>
      <c r="P49" s="14">
        <v>4.282</v>
      </c>
      <c r="Q49" s="14">
        <v>3.857432</v>
      </c>
      <c r="R49" s="14">
        <v>-0.42457</v>
      </c>
      <c r="S49" s="12" t="s">
        <v>27</v>
      </c>
      <c r="T49" s="12" t="s">
        <v>27</v>
      </c>
      <c r="U49" s="12" t="s">
        <v>27</v>
      </c>
      <c r="V49" s="12" t="str">
        <f>H49 &amp; ", " &amp; M49 &amp; " yardas"</f>
        <v>Castigo a la ofensiva, -5 yardas</v>
      </c>
      <c r="W49" s="10">
        <f t="shared" ref="W49:X49" si="43">W48</f>
        <v>0</v>
      </c>
      <c r="X49" s="10">
        <f t="shared" si="43"/>
        <v>9</v>
      </c>
      <c r="Y49" s="12"/>
      <c r="Z49" s="12"/>
      <c r="AA49" s="12"/>
      <c r="AB49" s="12"/>
      <c r="AC49" s="12"/>
      <c r="AD49" s="12"/>
    </row>
    <row r="50" ht="14.25" customHeight="1">
      <c r="A50" s="11">
        <v>2.0</v>
      </c>
      <c r="B50" s="12" t="s">
        <v>26</v>
      </c>
      <c r="C50" s="12">
        <v>10.0</v>
      </c>
      <c r="D50" s="11" t="s">
        <v>34</v>
      </c>
      <c r="E50" s="12" t="s">
        <v>26</v>
      </c>
      <c r="F50" s="12">
        <v>31.0</v>
      </c>
      <c r="G50" s="11" t="s">
        <v>35</v>
      </c>
      <c r="H50" s="12" t="s">
        <v>38</v>
      </c>
      <c r="I50" s="12" t="s">
        <v>39</v>
      </c>
      <c r="J50" s="12">
        <f t="shared" ref="J50:J53" si="45">J49-M49</f>
        <v>15</v>
      </c>
      <c r="K50" s="12">
        <v>-20.0</v>
      </c>
      <c r="L50" s="12">
        <v>-18.0</v>
      </c>
      <c r="M50" s="12">
        <v>2.0</v>
      </c>
      <c r="N50" s="12" t="s">
        <v>54</v>
      </c>
      <c r="O50" s="12">
        <f t="shared" si="1"/>
        <v>13</v>
      </c>
      <c r="P50" s="14">
        <v>3.857432</v>
      </c>
      <c r="Q50" s="14">
        <v>3.838565</v>
      </c>
      <c r="R50" s="14">
        <v>-0.01887</v>
      </c>
      <c r="S50" s="12">
        <v>2.0</v>
      </c>
      <c r="T50" s="12" t="s">
        <v>28</v>
      </c>
      <c r="U50" s="12" t="s">
        <v>86</v>
      </c>
      <c r="V50" s="12" t="str">
        <f t="shared" ref="V50:V51" si="46">G50 &amp; "para " &amp; M50 &amp; " yardas, " &amp; N50</f>
        <v>Ángel Alvarado para 2 yardas, 2do down</v>
      </c>
      <c r="W50" s="10">
        <f t="shared" ref="W50:X50" si="44">W49</f>
        <v>0</v>
      </c>
      <c r="X50" s="10">
        <f t="shared" si="44"/>
        <v>9</v>
      </c>
      <c r="Y50" s="12"/>
      <c r="Z50" s="12"/>
      <c r="AA50" s="12"/>
      <c r="AB50" s="12"/>
      <c r="AC50" s="12"/>
      <c r="AD50" s="12"/>
    </row>
    <row r="51" ht="14.25" customHeight="1">
      <c r="A51" s="11">
        <v>2.0</v>
      </c>
      <c r="B51" s="12" t="s">
        <v>26</v>
      </c>
      <c r="C51" s="12">
        <v>10.0</v>
      </c>
      <c r="D51" s="11" t="s">
        <v>34</v>
      </c>
      <c r="E51" s="12" t="s">
        <v>26</v>
      </c>
      <c r="F51" s="12">
        <v>10.0</v>
      </c>
      <c r="G51" s="11" t="s">
        <v>34</v>
      </c>
      <c r="H51" s="12" t="s">
        <v>38</v>
      </c>
      <c r="I51" s="12" t="s">
        <v>58</v>
      </c>
      <c r="J51" s="12">
        <f t="shared" si="45"/>
        <v>13</v>
      </c>
      <c r="K51" s="12">
        <v>-18.0</v>
      </c>
      <c r="L51" s="12">
        <v>-12.0</v>
      </c>
      <c r="M51" s="12">
        <v>6.0</v>
      </c>
      <c r="N51" s="12" t="s">
        <v>64</v>
      </c>
      <c r="O51" s="12">
        <f t="shared" si="1"/>
        <v>7</v>
      </c>
      <c r="P51" s="14">
        <v>3.838565</v>
      </c>
      <c r="Q51" s="14">
        <v>3.287756</v>
      </c>
      <c r="R51" s="14">
        <v>-0.55081</v>
      </c>
      <c r="S51" s="12">
        <v>29.0</v>
      </c>
      <c r="T51" s="12" t="s">
        <v>28</v>
      </c>
      <c r="U51" s="12" t="s">
        <v>80</v>
      </c>
      <c r="V51" s="12" t="str">
        <f t="shared" si="46"/>
        <v>Sergio Resendiz para 6 yardas, 3er down</v>
      </c>
      <c r="W51" s="10">
        <f t="shared" ref="W51:X51" si="47">W50</f>
        <v>0</v>
      </c>
      <c r="X51" s="10">
        <f t="shared" si="47"/>
        <v>9</v>
      </c>
      <c r="Y51" s="12"/>
      <c r="Z51" s="12"/>
      <c r="AA51" s="12"/>
      <c r="AB51" s="12"/>
      <c r="AC51" s="12"/>
      <c r="AD51" s="12"/>
    </row>
    <row r="52" ht="14.25" customHeight="1">
      <c r="A52" s="11">
        <v>2.0</v>
      </c>
      <c r="B52" s="12" t="s">
        <v>26</v>
      </c>
      <c r="C52" s="12">
        <v>10.0</v>
      </c>
      <c r="D52" s="11" t="s">
        <v>34</v>
      </c>
      <c r="E52" s="12" t="s">
        <v>26</v>
      </c>
      <c r="F52" s="12">
        <v>6.0</v>
      </c>
      <c r="G52" s="12" t="s">
        <v>141</v>
      </c>
      <c r="H52" s="12" t="s">
        <v>117</v>
      </c>
      <c r="I52" s="12" t="s">
        <v>69</v>
      </c>
      <c r="J52" s="12">
        <f t="shared" si="45"/>
        <v>7</v>
      </c>
      <c r="K52" s="12">
        <v>-12.0</v>
      </c>
      <c r="L52" s="12">
        <v>-12.0</v>
      </c>
      <c r="M52" s="12">
        <v>0.0</v>
      </c>
      <c r="N52" s="12" t="s">
        <v>70</v>
      </c>
      <c r="O52" s="12">
        <f t="shared" si="1"/>
        <v>7</v>
      </c>
      <c r="P52" s="14">
        <v>3.287756</v>
      </c>
      <c r="Q52" s="14">
        <v>2.798019</v>
      </c>
      <c r="R52" s="14">
        <v>-0.48974</v>
      </c>
      <c r="S52" s="12" t="s">
        <v>27</v>
      </c>
      <c r="T52" s="12" t="s">
        <v>27</v>
      </c>
      <c r="U52" s="12" t="s">
        <v>27</v>
      </c>
      <c r="V52" s="12" t="str">
        <f>D52 &amp; H52 &amp; " intencionado para " &amp; G52</f>
        <v>Sergio Resendiz Pase incompleto intencionado para Christian Espinosa Vázquez</v>
      </c>
      <c r="W52" s="10">
        <f t="shared" ref="W52:X52" si="48">W51</f>
        <v>0</v>
      </c>
      <c r="X52" s="10">
        <f t="shared" si="48"/>
        <v>9</v>
      </c>
      <c r="Y52" s="12"/>
      <c r="Z52" s="12"/>
      <c r="AA52" s="12"/>
      <c r="AB52" s="12"/>
      <c r="AC52" s="12"/>
      <c r="AD52" s="12"/>
    </row>
    <row r="53" ht="14.25" customHeight="1">
      <c r="A53" s="11">
        <v>2.0</v>
      </c>
      <c r="B53" s="12" t="s">
        <v>26</v>
      </c>
      <c r="C53" s="12" t="s">
        <v>27</v>
      </c>
      <c r="D53" s="12" t="s">
        <v>27</v>
      </c>
      <c r="E53" s="12" t="s">
        <v>26</v>
      </c>
      <c r="F53" s="12">
        <v>42.0</v>
      </c>
      <c r="G53" s="10" t="s">
        <v>93</v>
      </c>
      <c r="H53" s="12" t="s">
        <v>94</v>
      </c>
      <c r="I53" s="12" t="s">
        <v>74</v>
      </c>
      <c r="J53" s="12">
        <f t="shared" si="45"/>
        <v>7</v>
      </c>
      <c r="K53" s="12">
        <v>-19.0</v>
      </c>
      <c r="L53" s="12">
        <v>0.0</v>
      </c>
      <c r="M53" s="12">
        <v>29.0</v>
      </c>
      <c r="N53" s="12" t="s">
        <v>95</v>
      </c>
      <c r="O53" s="12" t="str">
        <f t="shared" si="1"/>
        <v/>
      </c>
      <c r="P53" s="14">
        <v>2.798019</v>
      </c>
      <c r="Q53" s="13">
        <v>3.0</v>
      </c>
      <c r="R53" s="14">
        <f>Q53-P53</f>
        <v>0.201981</v>
      </c>
      <c r="S53" s="12" t="s">
        <v>27</v>
      </c>
      <c r="T53" s="12" t="s">
        <v>27</v>
      </c>
      <c r="U53" s="12" t="s">
        <v>27</v>
      </c>
      <c r="V53" s="12" t="str">
        <f>G53 &amp; N53</f>
        <v>Reynaldo Adolfo Blanco Palomo FG bueno</v>
      </c>
      <c r="W53" s="10">
        <f t="shared" ref="W53:W55" si="49">W52</f>
        <v>0</v>
      </c>
      <c r="X53" s="10">
        <v>12.0</v>
      </c>
      <c r="Y53" s="12"/>
      <c r="Z53" s="12"/>
      <c r="AA53" s="12"/>
      <c r="AB53" s="12"/>
      <c r="AC53" s="12"/>
      <c r="AD53" s="12"/>
    </row>
    <row r="54" ht="14.25" customHeight="1">
      <c r="A54" s="11">
        <v>2.0</v>
      </c>
      <c r="B54" s="12" t="s">
        <v>26</v>
      </c>
      <c r="C54" s="12" t="s">
        <v>27</v>
      </c>
      <c r="D54" s="12" t="s">
        <v>27</v>
      </c>
      <c r="E54" s="12" t="s">
        <v>26</v>
      </c>
      <c r="F54" s="12">
        <v>42.0</v>
      </c>
      <c r="G54" s="12" t="s">
        <v>42</v>
      </c>
      <c r="H54" s="12" t="s">
        <v>31</v>
      </c>
      <c r="I54" s="12" t="s">
        <v>27</v>
      </c>
      <c r="J54" s="12"/>
      <c r="K54" s="12">
        <v>35.0</v>
      </c>
      <c r="L54" s="12">
        <v>-3.0</v>
      </c>
      <c r="M54" s="12">
        <v>62.0</v>
      </c>
      <c r="N54" s="12" t="s">
        <v>167</v>
      </c>
      <c r="O54" s="12" t="str">
        <f t="shared" si="1"/>
        <v/>
      </c>
      <c r="P54" s="15"/>
      <c r="Q54" s="15"/>
      <c r="R54" s="14">
        <v>0.0</v>
      </c>
      <c r="S54" s="12" t="s">
        <v>27</v>
      </c>
      <c r="T54" s="12" t="s">
        <v>27</v>
      </c>
      <c r="U54" s="12" t="s">
        <v>27</v>
      </c>
      <c r="V54" s="12" t="str">
        <f>G54 &amp; " kicks off " &amp; M54 &amp; " yardas, " &amp; N54 &amp; " por " &amp; G55 &amp; " para " &amp; M55 &amp; " yardas"</f>
        <v>Reynaldo Adolfo Blanco Palomo kicks off 62 yardas, Regreso por Fernando Tonda para 20 yardas</v>
      </c>
      <c r="W54" s="10">
        <f t="shared" si="49"/>
        <v>0</v>
      </c>
      <c r="X54" s="10">
        <f t="shared" ref="X54:X57" si="50">X53</f>
        <v>12</v>
      </c>
      <c r="Y54" s="12"/>
      <c r="Z54" s="12"/>
      <c r="AA54" s="12"/>
      <c r="AB54" s="12"/>
      <c r="AC54" s="12"/>
      <c r="AD54" s="12"/>
    </row>
    <row r="55" ht="14.25" customHeight="1">
      <c r="A55" s="11">
        <v>2.0</v>
      </c>
      <c r="B55" s="12" t="s">
        <v>28</v>
      </c>
      <c r="C55" s="12" t="s">
        <v>27</v>
      </c>
      <c r="D55" s="12" t="s">
        <v>27</v>
      </c>
      <c r="E55" s="12" t="s">
        <v>28</v>
      </c>
      <c r="F55" s="12">
        <v>81.0</v>
      </c>
      <c r="G55" s="11" t="s">
        <v>46</v>
      </c>
      <c r="H55" s="12" t="s">
        <v>47</v>
      </c>
      <c r="I55" s="12" t="s">
        <v>27</v>
      </c>
      <c r="J55" s="12"/>
      <c r="K55" s="12">
        <v>3.0</v>
      </c>
      <c r="L55" s="12">
        <v>23.0</v>
      </c>
      <c r="M55" s="12">
        <v>20.0</v>
      </c>
      <c r="N55" s="12" t="s">
        <v>48</v>
      </c>
      <c r="O55" s="12">
        <f t="shared" si="1"/>
        <v>10</v>
      </c>
      <c r="P55" s="13">
        <v>0.0</v>
      </c>
      <c r="Q55" s="14">
        <v>0.729934</v>
      </c>
      <c r="R55" s="14">
        <f>Q55-P55</f>
        <v>0.729934</v>
      </c>
      <c r="S55" s="12">
        <v>46.0</v>
      </c>
      <c r="T55" s="12" t="s">
        <v>26</v>
      </c>
      <c r="U55" s="12" t="s">
        <v>27</v>
      </c>
      <c r="V55" s="12" t="s">
        <v>143</v>
      </c>
      <c r="W55" s="10">
        <f t="shared" si="49"/>
        <v>0</v>
      </c>
      <c r="X55" s="10">
        <f t="shared" si="50"/>
        <v>12</v>
      </c>
      <c r="Y55" s="12"/>
      <c r="Z55" s="12"/>
      <c r="AA55" s="12"/>
      <c r="AB55" s="12"/>
      <c r="AC55" s="12"/>
      <c r="AD55" s="12"/>
    </row>
    <row r="56" ht="14.25" customHeight="1">
      <c r="A56" s="11">
        <v>2.0</v>
      </c>
      <c r="B56" s="12" t="s">
        <v>28</v>
      </c>
      <c r="C56" s="12">
        <v>15.0</v>
      </c>
      <c r="D56" s="11" t="s">
        <v>51</v>
      </c>
      <c r="E56" s="12" t="s">
        <v>28</v>
      </c>
      <c r="F56" s="12">
        <v>17.0</v>
      </c>
      <c r="G56" s="12" t="s">
        <v>144</v>
      </c>
      <c r="H56" s="12" t="s">
        <v>53</v>
      </c>
      <c r="I56" s="12" t="s">
        <v>39</v>
      </c>
      <c r="J56" s="10">
        <v>10.0</v>
      </c>
      <c r="K56" s="12">
        <v>23.0</v>
      </c>
      <c r="L56" s="12">
        <v>0.0</v>
      </c>
      <c r="M56" s="12">
        <v>77.0</v>
      </c>
      <c r="N56" s="12" t="s">
        <v>40</v>
      </c>
      <c r="O56" s="12" t="str">
        <f t="shared" si="1"/>
        <v/>
      </c>
      <c r="P56" s="14">
        <v>0.729934</v>
      </c>
      <c r="Q56" s="14">
        <v>7.0</v>
      </c>
      <c r="R56" s="14">
        <v>6.270066</v>
      </c>
      <c r="S56" s="12" t="s">
        <v>27</v>
      </c>
      <c r="T56" s="12" t="s">
        <v>27</v>
      </c>
      <c r="U56" s="12" t="s">
        <v>27</v>
      </c>
      <c r="V56" s="12" t="str">
        <f>D56 &amp; H56 &amp; " completo para " &amp;G56 &amp; "para " &amp; M56 &amp; " yardas" </f>
        <v>Fernando Sarabia Pase completo para Alejandro Elizondo Gonzálezpara 77 yardas</v>
      </c>
      <c r="W56" s="10">
        <v>6.0</v>
      </c>
      <c r="X56" s="10">
        <f t="shared" si="50"/>
        <v>12</v>
      </c>
      <c r="Y56" s="12"/>
      <c r="Z56" s="12"/>
      <c r="AA56" s="12"/>
      <c r="AB56" s="12"/>
      <c r="AC56" s="12"/>
      <c r="AD56" s="12"/>
    </row>
    <row r="57" ht="14.25" customHeight="1">
      <c r="A57" s="11">
        <v>2.0</v>
      </c>
      <c r="B57" s="12" t="s">
        <v>28</v>
      </c>
      <c r="C57" s="12" t="s">
        <v>27</v>
      </c>
      <c r="D57" s="12" t="s">
        <v>27</v>
      </c>
      <c r="E57" s="12" t="s">
        <v>28</v>
      </c>
      <c r="F57" s="12">
        <v>28.0</v>
      </c>
      <c r="G57" s="11" t="s">
        <v>29</v>
      </c>
      <c r="H57" s="12" t="s">
        <v>43</v>
      </c>
      <c r="I57" s="12" t="s">
        <v>27</v>
      </c>
      <c r="J57" s="12"/>
      <c r="K57" s="12">
        <v>-10.0</v>
      </c>
      <c r="L57" s="12">
        <v>0.0</v>
      </c>
      <c r="M57" s="12">
        <v>20.0</v>
      </c>
      <c r="N57" s="12" t="s">
        <v>146</v>
      </c>
      <c r="O57" s="12" t="str">
        <f t="shared" si="1"/>
        <v/>
      </c>
      <c r="P57" s="15"/>
      <c r="Q57" s="15"/>
      <c r="R57" s="14">
        <v>0.0</v>
      </c>
      <c r="S57" s="12" t="s">
        <v>27</v>
      </c>
      <c r="T57" s="12" t="s">
        <v>27</v>
      </c>
      <c r="U57" s="12" t="s">
        <v>27</v>
      </c>
      <c r="V57" s="12" t="str">
        <f>G57 &amp; " " &amp; N57</f>
        <v>Roberto Medina PAT exitosa</v>
      </c>
      <c r="W57" s="10">
        <v>7.0</v>
      </c>
      <c r="X57" s="10">
        <f t="shared" si="50"/>
        <v>12</v>
      </c>
      <c r="Y57" s="12"/>
      <c r="Z57" s="12"/>
      <c r="AA57" s="12"/>
      <c r="AB57" s="12"/>
      <c r="AC57" s="12"/>
      <c r="AD57" s="12"/>
    </row>
    <row r="58" ht="14.25" customHeight="1">
      <c r="A58" s="11">
        <v>2.0</v>
      </c>
      <c r="B58" s="12" t="s">
        <v>28</v>
      </c>
      <c r="C58" s="12" t="s">
        <v>27</v>
      </c>
      <c r="D58" s="12" t="s">
        <v>27</v>
      </c>
      <c r="E58" s="12" t="s">
        <v>28</v>
      </c>
      <c r="F58" s="12">
        <v>28.0</v>
      </c>
      <c r="G58" s="11" t="s">
        <v>29</v>
      </c>
      <c r="H58" s="12" t="s">
        <v>31</v>
      </c>
      <c r="I58" s="12" t="s">
        <v>27</v>
      </c>
      <c r="J58" s="12"/>
      <c r="K58" s="12">
        <v>35.0</v>
      </c>
      <c r="L58" s="12">
        <v>0.0</v>
      </c>
      <c r="M58" s="12">
        <v>65.0</v>
      </c>
      <c r="N58" s="12" t="s">
        <v>167</v>
      </c>
      <c r="O58" s="12" t="str">
        <f t="shared" si="1"/>
        <v/>
      </c>
      <c r="P58" s="15"/>
      <c r="Q58" s="15"/>
      <c r="R58" s="14">
        <v>0.0</v>
      </c>
      <c r="S58" s="12" t="s">
        <v>27</v>
      </c>
      <c r="T58" s="12" t="s">
        <v>27</v>
      </c>
      <c r="U58" s="12" t="s">
        <v>27</v>
      </c>
      <c r="V58" s="12" t="str">
        <f>G58 &amp; " kicks off " &amp; M58 &amp; " yardas, " &amp; N58 &amp; " por " &amp; G59 &amp; " para " &amp; M59 &amp; " yardas"</f>
        <v>Roberto Medina kicks off 65 yardas, Regreso por Jorge Luis Chaib De León para 28 yardas</v>
      </c>
      <c r="W58" s="10">
        <f t="shared" ref="W58:X58" si="51">W57</f>
        <v>7</v>
      </c>
      <c r="X58" s="10">
        <f t="shared" si="51"/>
        <v>12</v>
      </c>
      <c r="Y58" s="12"/>
      <c r="Z58" s="12"/>
      <c r="AA58" s="12"/>
      <c r="AB58" s="12"/>
      <c r="AC58" s="12"/>
      <c r="AD58" s="12"/>
    </row>
    <row r="59" ht="14.25" customHeight="1">
      <c r="A59" s="11">
        <v>2.0</v>
      </c>
      <c r="B59" s="12" t="s">
        <v>26</v>
      </c>
      <c r="C59" s="12" t="s">
        <v>27</v>
      </c>
      <c r="D59" s="12" t="s">
        <v>27</v>
      </c>
      <c r="E59" s="12" t="s">
        <v>26</v>
      </c>
      <c r="F59" s="12">
        <v>20.0</v>
      </c>
      <c r="G59" s="12" t="s">
        <v>148</v>
      </c>
      <c r="H59" s="12" t="s">
        <v>47</v>
      </c>
      <c r="I59" s="12" t="s">
        <v>27</v>
      </c>
      <c r="J59" s="12"/>
      <c r="K59" s="12">
        <v>0.0</v>
      </c>
      <c r="L59" s="12">
        <v>28.0</v>
      </c>
      <c r="M59" s="12">
        <v>28.0</v>
      </c>
      <c r="N59" s="12" t="s">
        <v>48</v>
      </c>
      <c r="O59" s="12">
        <f t="shared" si="1"/>
        <v>10</v>
      </c>
      <c r="P59" s="13">
        <v>0.0</v>
      </c>
      <c r="Q59" s="14">
        <v>1.136436</v>
      </c>
      <c r="R59" s="14">
        <f>Q59-P59</f>
        <v>1.136436</v>
      </c>
      <c r="S59" s="12" t="s">
        <v>27</v>
      </c>
      <c r="T59" s="12" t="s">
        <v>27</v>
      </c>
      <c r="U59" s="12" t="s">
        <v>27</v>
      </c>
      <c r="V59" s="12" t="s">
        <v>149</v>
      </c>
      <c r="W59" s="10">
        <f t="shared" ref="W59:X59" si="52">W58</f>
        <v>7</v>
      </c>
      <c r="X59" s="10">
        <f t="shared" si="52"/>
        <v>12</v>
      </c>
      <c r="Y59" s="12"/>
      <c r="Z59" s="12"/>
      <c r="AA59" s="12"/>
      <c r="AB59" s="12"/>
      <c r="AC59" s="12"/>
      <c r="AD59" s="12"/>
    </row>
    <row r="60" ht="14.25" customHeight="1">
      <c r="A60" s="11">
        <v>2.0</v>
      </c>
      <c r="B60" s="12" t="s">
        <v>26</v>
      </c>
      <c r="C60" s="12">
        <v>10.0</v>
      </c>
      <c r="D60" s="11" t="s">
        <v>34</v>
      </c>
      <c r="E60" s="12" t="s">
        <v>26</v>
      </c>
      <c r="F60" s="12">
        <v>31.0</v>
      </c>
      <c r="G60" s="11" t="s">
        <v>35</v>
      </c>
      <c r="H60" s="12" t="s">
        <v>38</v>
      </c>
      <c r="I60" s="12" t="s">
        <v>39</v>
      </c>
      <c r="J60" s="10">
        <v>10.0</v>
      </c>
      <c r="K60" s="12">
        <v>28.0</v>
      </c>
      <c r="L60" s="12">
        <v>28.0</v>
      </c>
      <c r="M60" s="12">
        <v>0.0</v>
      </c>
      <c r="N60" s="12" t="s">
        <v>54</v>
      </c>
      <c r="O60" s="12">
        <f t="shared" si="1"/>
        <v>10</v>
      </c>
      <c r="P60" s="14">
        <v>1.136436</v>
      </c>
      <c r="Q60" s="14">
        <v>0.520735</v>
      </c>
      <c r="R60" s="14">
        <v>-0.6157</v>
      </c>
      <c r="S60" s="12">
        <v>91.0</v>
      </c>
      <c r="T60" s="12" t="s">
        <v>28</v>
      </c>
      <c r="U60" s="12" t="s">
        <v>150</v>
      </c>
      <c r="V60" s="12" t="str">
        <f t="shared" ref="V60:V61" si="54">G60 &amp; "para " &amp; M60 &amp; " yardas, " &amp; N60</f>
        <v>Ángel Alvarado para 0 yardas, 2do down</v>
      </c>
      <c r="W60" s="10">
        <f t="shared" ref="W60:X60" si="53">W59</f>
        <v>7</v>
      </c>
      <c r="X60" s="10">
        <f t="shared" si="53"/>
        <v>12</v>
      </c>
      <c r="Y60" s="12"/>
      <c r="Z60" s="12"/>
      <c r="AA60" s="12"/>
      <c r="AB60" s="12"/>
      <c r="AC60" s="12"/>
      <c r="AD60" s="12"/>
    </row>
    <row r="61" ht="14.25" customHeight="1">
      <c r="A61" s="11">
        <v>2.0</v>
      </c>
      <c r="B61" s="12" t="s">
        <v>26</v>
      </c>
      <c r="C61" s="12">
        <v>10.0</v>
      </c>
      <c r="D61" s="11" t="s">
        <v>34</v>
      </c>
      <c r="E61" s="12" t="s">
        <v>26</v>
      </c>
      <c r="F61" s="12">
        <v>31.0</v>
      </c>
      <c r="G61" s="11" t="s">
        <v>35</v>
      </c>
      <c r="H61" s="12" t="s">
        <v>38</v>
      </c>
      <c r="I61" s="12" t="s">
        <v>58</v>
      </c>
      <c r="J61" s="12">
        <f t="shared" ref="J61:J62" si="56">J60-M60</f>
        <v>10</v>
      </c>
      <c r="K61" s="12">
        <v>28.0</v>
      </c>
      <c r="L61" s="12">
        <v>33.0</v>
      </c>
      <c r="M61" s="12">
        <v>5.0</v>
      </c>
      <c r="N61" s="12" t="s">
        <v>64</v>
      </c>
      <c r="O61" s="12">
        <f t="shared" si="1"/>
        <v>5</v>
      </c>
      <c r="P61" s="14">
        <v>0.520735</v>
      </c>
      <c r="Q61" s="14">
        <v>0.4793</v>
      </c>
      <c r="R61" s="14">
        <v>-0.04144</v>
      </c>
      <c r="S61" s="12">
        <v>91.0</v>
      </c>
      <c r="T61" s="12" t="s">
        <v>28</v>
      </c>
      <c r="U61" s="12" t="s">
        <v>150</v>
      </c>
      <c r="V61" s="12" t="str">
        <f t="shared" si="54"/>
        <v>Ángel Alvarado para 5 yardas, 3er down</v>
      </c>
      <c r="W61" s="10">
        <f t="shared" ref="W61:X61" si="55">W60</f>
        <v>7</v>
      </c>
      <c r="X61" s="10">
        <f t="shared" si="55"/>
        <v>12</v>
      </c>
      <c r="Y61" s="12"/>
      <c r="Z61" s="12"/>
      <c r="AA61" s="12"/>
      <c r="AB61" s="12"/>
      <c r="AC61" s="12"/>
      <c r="AD61" s="12"/>
    </row>
    <row r="62" ht="14.25" customHeight="1">
      <c r="A62" s="11">
        <v>2.0</v>
      </c>
      <c r="B62" s="12" t="s">
        <v>26</v>
      </c>
      <c r="C62" s="12">
        <v>10.0</v>
      </c>
      <c r="D62" s="11" t="s">
        <v>34</v>
      </c>
      <c r="E62" s="12" t="s">
        <v>26</v>
      </c>
      <c r="F62" s="12">
        <v>82.0</v>
      </c>
      <c r="G62" s="11" t="s">
        <v>116</v>
      </c>
      <c r="H62" s="12" t="s">
        <v>53</v>
      </c>
      <c r="I62" s="12" t="s">
        <v>69</v>
      </c>
      <c r="J62" s="12">
        <f t="shared" si="56"/>
        <v>5</v>
      </c>
      <c r="K62" s="12">
        <v>33.0</v>
      </c>
      <c r="L62" s="12">
        <v>45.0</v>
      </c>
      <c r="M62" s="12">
        <v>12.0</v>
      </c>
      <c r="N62" s="12" t="s">
        <v>48</v>
      </c>
      <c r="O62" s="12">
        <f t="shared" si="1"/>
        <v>10</v>
      </c>
      <c r="P62" s="14">
        <v>0.4793</v>
      </c>
      <c r="Q62" s="14">
        <v>2.387414</v>
      </c>
      <c r="R62" s="14">
        <v>1.908115</v>
      </c>
      <c r="S62" s="12" t="s">
        <v>27</v>
      </c>
      <c r="T62" s="12" t="s">
        <v>27</v>
      </c>
      <c r="U62" s="12" t="s">
        <v>27</v>
      </c>
      <c r="V62" s="12" t="str">
        <f>D62 &amp; H62 &amp; " completo para " &amp;G62 &amp; "para " &amp; M62 &amp; " yardas" </f>
        <v>Sergio Resendiz Pase completo para Marco Vinicio García para 12 yardas</v>
      </c>
      <c r="W62" s="10">
        <f t="shared" ref="W62:X62" si="57">W61</f>
        <v>7</v>
      </c>
      <c r="X62" s="10">
        <f t="shared" si="57"/>
        <v>12</v>
      </c>
      <c r="Y62" s="12"/>
      <c r="Z62" s="12"/>
      <c r="AA62" s="12"/>
      <c r="AB62" s="12"/>
      <c r="AC62" s="12"/>
      <c r="AD62" s="12"/>
    </row>
    <row r="63" ht="14.25" customHeight="1">
      <c r="A63" s="11">
        <v>2.0</v>
      </c>
      <c r="B63" s="12" t="s">
        <v>26</v>
      </c>
      <c r="C63" s="12">
        <v>10.0</v>
      </c>
      <c r="D63" s="11" t="s">
        <v>34</v>
      </c>
      <c r="E63" s="12" t="s">
        <v>26</v>
      </c>
      <c r="F63" s="12">
        <v>20.0</v>
      </c>
      <c r="G63" s="12" t="s">
        <v>148</v>
      </c>
      <c r="H63" s="12" t="s">
        <v>38</v>
      </c>
      <c r="I63" s="12" t="s">
        <v>39</v>
      </c>
      <c r="J63" s="10">
        <v>10.0</v>
      </c>
      <c r="K63" s="12">
        <v>45.0</v>
      </c>
      <c r="L63" s="12">
        <v>45.0</v>
      </c>
      <c r="M63" s="12">
        <v>0.0</v>
      </c>
      <c r="N63" s="12" t="s">
        <v>54</v>
      </c>
      <c r="O63" s="12">
        <f t="shared" si="1"/>
        <v>10</v>
      </c>
      <c r="P63" s="14">
        <v>2.387414</v>
      </c>
      <c r="Q63" s="14">
        <v>1.818429</v>
      </c>
      <c r="R63" s="14">
        <v>-0.56899</v>
      </c>
      <c r="S63" s="12">
        <v>55.0</v>
      </c>
      <c r="T63" s="12" t="s">
        <v>28</v>
      </c>
      <c r="U63" s="12" t="s">
        <v>78</v>
      </c>
      <c r="V63" s="12" t="str">
        <f t="shared" ref="V63:V65" si="59">G63 &amp; "para " &amp; M63 &amp; " yardas, " &amp; N63</f>
        <v>Jorge Luis Chaib De Leónpara 0 yardas, 2do down</v>
      </c>
      <c r="W63" s="10">
        <f t="shared" ref="W63:X63" si="58">W62</f>
        <v>7</v>
      </c>
      <c r="X63" s="10">
        <f t="shared" si="58"/>
        <v>12</v>
      </c>
      <c r="Y63" s="12"/>
      <c r="Z63" s="12"/>
      <c r="AA63" s="12"/>
      <c r="AB63" s="12"/>
      <c r="AC63" s="12"/>
      <c r="AD63" s="12"/>
    </row>
    <row r="64" ht="14.25" customHeight="1">
      <c r="A64" s="11">
        <v>2.0</v>
      </c>
      <c r="B64" s="12" t="s">
        <v>26</v>
      </c>
      <c r="C64" s="12">
        <v>10.0</v>
      </c>
      <c r="D64" s="11" t="s">
        <v>34</v>
      </c>
      <c r="E64" s="12" t="s">
        <v>26</v>
      </c>
      <c r="F64" s="12">
        <v>20.0</v>
      </c>
      <c r="G64" s="12" t="s">
        <v>148</v>
      </c>
      <c r="H64" s="12" t="s">
        <v>38</v>
      </c>
      <c r="I64" s="12" t="s">
        <v>58</v>
      </c>
      <c r="J64" s="12">
        <f t="shared" ref="J64:J65" si="61">J63-M63</f>
        <v>10</v>
      </c>
      <c r="K64" s="12">
        <v>45.0</v>
      </c>
      <c r="L64" s="12">
        <v>45.0</v>
      </c>
      <c r="M64" s="12">
        <v>0.0</v>
      </c>
      <c r="N64" s="12" t="s">
        <v>64</v>
      </c>
      <c r="O64" s="12">
        <f t="shared" si="1"/>
        <v>10</v>
      </c>
      <c r="P64" s="14">
        <v>1.818429</v>
      </c>
      <c r="Q64" s="14">
        <v>1.052055</v>
      </c>
      <c r="R64" s="14">
        <v>-0.76637</v>
      </c>
      <c r="S64" s="12">
        <v>91.0</v>
      </c>
      <c r="T64" s="12" t="s">
        <v>28</v>
      </c>
      <c r="U64" s="12" t="s">
        <v>150</v>
      </c>
      <c r="V64" s="12" t="str">
        <f t="shared" si="59"/>
        <v>Jorge Luis Chaib De Leónpara 0 yardas, 3er down</v>
      </c>
      <c r="W64" s="10">
        <f t="shared" ref="W64:X64" si="60">W63</f>
        <v>7</v>
      </c>
      <c r="X64" s="10">
        <f t="shared" si="60"/>
        <v>12</v>
      </c>
      <c r="Y64" s="12"/>
      <c r="Z64" s="12"/>
      <c r="AA64" s="12"/>
      <c r="AB64" s="12"/>
      <c r="AC64" s="12"/>
      <c r="AD64" s="12"/>
    </row>
    <row r="65" ht="14.25" customHeight="1">
      <c r="A65" s="11">
        <v>2.0</v>
      </c>
      <c r="B65" s="12" t="s">
        <v>26</v>
      </c>
      <c r="C65" s="12">
        <v>10.0</v>
      </c>
      <c r="D65" s="11" t="s">
        <v>34</v>
      </c>
      <c r="E65" s="12" t="s">
        <v>26</v>
      </c>
      <c r="F65" s="12">
        <v>10.0</v>
      </c>
      <c r="G65" s="11" t="s">
        <v>34</v>
      </c>
      <c r="H65" s="12" t="s">
        <v>38</v>
      </c>
      <c r="I65" s="12" t="s">
        <v>69</v>
      </c>
      <c r="J65" s="12">
        <f t="shared" si="61"/>
        <v>10</v>
      </c>
      <c r="K65" s="12">
        <v>45.0</v>
      </c>
      <c r="L65" s="12">
        <v>49.0</v>
      </c>
      <c r="M65" s="12">
        <v>4.0</v>
      </c>
      <c r="N65" s="12" t="s">
        <v>70</v>
      </c>
      <c r="O65" s="12">
        <f t="shared" si="1"/>
        <v>6</v>
      </c>
      <c r="P65" s="14">
        <v>1.052055</v>
      </c>
      <c r="Q65" s="13">
        <v>-0.957550942</v>
      </c>
      <c r="R65" s="14">
        <f t="shared" ref="R65:R67" si="63">Q65-P65</f>
        <v>-2.009605942</v>
      </c>
      <c r="S65" s="12">
        <v>2.0</v>
      </c>
      <c r="T65" s="12" t="s">
        <v>28</v>
      </c>
      <c r="U65" s="12" t="s">
        <v>86</v>
      </c>
      <c r="V65" s="12" t="str">
        <f t="shared" si="59"/>
        <v>Sergio Resendiz para 4 yardas, 4to down</v>
      </c>
      <c r="W65" s="10">
        <f t="shared" ref="W65:X65" si="62">W64</f>
        <v>7</v>
      </c>
      <c r="X65" s="10">
        <f t="shared" si="62"/>
        <v>12</v>
      </c>
      <c r="Y65" s="12"/>
      <c r="Z65" s="12"/>
      <c r="AA65" s="12"/>
      <c r="AB65" s="12"/>
      <c r="AC65" s="12"/>
      <c r="AD65" s="12"/>
    </row>
    <row r="66" ht="14.25" customHeight="1">
      <c r="A66" s="11">
        <v>2.0</v>
      </c>
      <c r="B66" s="12" t="s">
        <v>26</v>
      </c>
      <c r="C66" s="12" t="s">
        <v>27</v>
      </c>
      <c r="D66" s="12" t="s">
        <v>27</v>
      </c>
      <c r="E66" s="12" t="s">
        <v>26</v>
      </c>
      <c r="F66" s="12">
        <v>8.0</v>
      </c>
      <c r="G66" s="11" t="s">
        <v>119</v>
      </c>
      <c r="H66" s="12" t="s">
        <v>73</v>
      </c>
      <c r="I66" s="10" t="s">
        <v>74</v>
      </c>
      <c r="J66" s="10">
        <v>6.0</v>
      </c>
      <c r="K66" s="12">
        <v>35.0</v>
      </c>
      <c r="L66" s="12">
        <v>-25.0</v>
      </c>
      <c r="M66" s="12">
        <v>40.0</v>
      </c>
      <c r="N66" s="12" t="s">
        <v>157</v>
      </c>
      <c r="O66" s="12" t="str">
        <f t="shared" si="1"/>
        <v/>
      </c>
      <c r="P66" s="13">
        <v>-0.957550942</v>
      </c>
      <c r="Q66" s="13">
        <v>-0.885</v>
      </c>
      <c r="R66" s="14">
        <f t="shared" si="63"/>
        <v>0.072550942</v>
      </c>
      <c r="S66" s="12" t="s">
        <v>27</v>
      </c>
      <c r="T66" s="12" t="s">
        <v>27</v>
      </c>
      <c r="U66" s="12" t="s">
        <v>27</v>
      </c>
      <c r="V66" s="12" t="str">
        <f>G66 &amp; H66 &amp; " " &amp; M66 &amp; " yardas, " &amp; N66 &amp; " " &amp; H68</f>
        <v>Luis Ángel Olvera Punt 40 yardas, Muffed punt Balón recuperado a la defensiva</v>
      </c>
      <c r="W66" s="10">
        <f t="shared" ref="W66:X66" si="64">W65</f>
        <v>7</v>
      </c>
      <c r="X66" s="10">
        <f t="shared" si="64"/>
        <v>12</v>
      </c>
      <c r="Y66" s="12"/>
      <c r="Z66" s="12"/>
      <c r="AA66" s="12"/>
      <c r="AB66" s="12"/>
      <c r="AC66" s="12"/>
      <c r="AD66" s="12"/>
    </row>
    <row r="67" ht="14.25" customHeight="1">
      <c r="A67" s="11">
        <v>2.0</v>
      </c>
      <c r="B67" s="12" t="s">
        <v>28</v>
      </c>
      <c r="C67" s="12" t="s">
        <v>27</v>
      </c>
      <c r="D67" s="12" t="s">
        <v>27</v>
      </c>
      <c r="E67" s="12" t="s">
        <v>28</v>
      </c>
      <c r="F67" s="12">
        <v>52.0</v>
      </c>
      <c r="G67" s="12" t="s">
        <v>255</v>
      </c>
      <c r="H67" s="12" t="s">
        <v>157</v>
      </c>
      <c r="I67" s="12" t="s">
        <v>27</v>
      </c>
      <c r="J67" s="12"/>
      <c r="K67" s="12">
        <v>25.0</v>
      </c>
      <c r="L67" s="12">
        <v>25.0</v>
      </c>
      <c r="M67" s="12">
        <v>0.0</v>
      </c>
      <c r="N67" s="12" t="s">
        <v>157</v>
      </c>
      <c r="O67" s="12" t="str">
        <f t="shared" si="1"/>
        <v/>
      </c>
      <c r="P67" s="13">
        <v>0.885</v>
      </c>
      <c r="Q67" s="14">
        <v>-3.920651</v>
      </c>
      <c r="R67" s="14">
        <f t="shared" si="63"/>
        <v>-4.805651</v>
      </c>
      <c r="S67" s="12" t="s">
        <v>27</v>
      </c>
      <c r="T67" s="12" t="s">
        <v>27</v>
      </c>
      <c r="U67" s="12" t="s">
        <v>27</v>
      </c>
      <c r="V67" s="12"/>
      <c r="W67" s="10">
        <f t="shared" ref="W67:X67" si="65">W66</f>
        <v>7</v>
      </c>
      <c r="X67" s="10">
        <f t="shared" si="65"/>
        <v>12</v>
      </c>
      <c r="Y67" s="12"/>
      <c r="Z67" s="12"/>
      <c r="AA67" s="12"/>
      <c r="AB67" s="12"/>
      <c r="AC67" s="12"/>
      <c r="AD67" s="12"/>
    </row>
    <row r="68" ht="14.25" customHeight="1">
      <c r="A68" s="11">
        <v>2.0</v>
      </c>
      <c r="B68" s="12" t="s">
        <v>26</v>
      </c>
      <c r="C68" s="12" t="s">
        <v>27</v>
      </c>
      <c r="D68" s="12" t="s">
        <v>27</v>
      </c>
      <c r="E68" s="12" t="s">
        <v>26</v>
      </c>
      <c r="F68" s="12">
        <v>11.0</v>
      </c>
      <c r="G68" s="12" t="s">
        <v>125</v>
      </c>
      <c r="H68" s="12" t="s">
        <v>256</v>
      </c>
      <c r="I68" s="12" t="s">
        <v>27</v>
      </c>
      <c r="J68" s="12"/>
      <c r="K68" s="12">
        <v>-25.0</v>
      </c>
      <c r="L68" s="12">
        <v>-25.0</v>
      </c>
      <c r="M68" s="12">
        <v>0.0</v>
      </c>
      <c r="N68" s="12" t="s">
        <v>48</v>
      </c>
      <c r="O68" s="12">
        <f t="shared" si="1"/>
        <v>10</v>
      </c>
      <c r="P68" s="15"/>
      <c r="Q68" s="15"/>
      <c r="R68" s="14">
        <v>0.0</v>
      </c>
      <c r="S68" s="12" t="s">
        <v>27</v>
      </c>
      <c r="T68" s="12" t="s">
        <v>27</v>
      </c>
      <c r="U68" s="12" t="s">
        <v>27</v>
      </c>
      <c r="V68" s="12"/>
      <c r="W68" s="10">
        <f t="shared" ref="W68:X68" si="66">W67</f>
        <v>7</v>
      </c>
      <c r="X68" s="10">
        <f t="shared" si="66"/>
        <v>12</v>
      </c>
      <c r="Y68" s="12"/>
      <c r="Z68" s="12"/>
      <c r="AA68" s="12"/>
      <c r="AB68" s="12"/>
      <c r="AC68" s="12"/>
      <c r="AD68" s="12"/>
    </row>
    <row r="69" ht="14.25" customHeight="1">
      <c r="A69" s="11">
        <v>2.0</v>
      </c>
      <c r="B69" s="12" t="s">
        <v>26</v>
      </c>
      <c r="C69" s="12">
        <v>10.0</v>
      </c>
      <c r="D69" s="11" t="s">
        <v>34</v>
      </c>
      <c r="E69" s="12" t="s">
        <v>26</v>
      </c>
      <c r="F69" s="12">
        <v>3.0</v>
      </c>
      <c r="G69" s="11" t="s">
        <v>128</v>
      </c>
      <c r="H69" s="12" t="s">
        <v>117</v>
      </c>
      <c r="I69" s="12" t="s">
        <v>39</v>
      </c>
      <c r="J69" s="10">
        <v>10.0</v>
      </c>
      <c r="K69" s="12">
        <v>-25.0</v>
      </c>
      <c r="L69" s="12">
        <v>-25.0</v>
      </c>
      <c r="M69" s="12">
        <v>0.0</v>
      </c>
      <c r="N69" s="12" t="s">
        <v>54</v>
      </c>
      <c r="O69" s="12">
        <f t="shared" si="1"/>
        <v>10</v>
      </c>
      <c r="P69" s="14">
        <v>3.920651</v>
      </c>
      <c r="Q69" s="14">
        <v>3.406558</v>
      </c>
      <c r="R69" s="14">
        <v>-0.51409</v>
      </c>
      <c r="S69" s="12" t="s">
        <v>27</v>
      </c>
      <c r="T69" s="12" t="s">
        <v>27</v>
      </c>
      <c r="U69" s="12" t="s">
        <v>27</v>
      </c>
      <c r="V69" s="12" t="str">
        <f>D69 &amp; H69 &amp; " intencionado para " &amp; G69</f>
        <v>Sergio Resendiz Pase incompleto intencionado para Aldo Herrera </v>
      </c>
      <c r="W69" s="10">
        <f t="shared" ref="W69:X69" si="67">W68</f>
        <v>7</v>
      </c>
      <c r="X69" s="10">
        <f t="shared" si="67"/>
        <v>12</v>
      </c>
      <c r="Y69" s="12"/>
      <c r="Z69" s="12"/>
      <c r="AA69" s="12"/>
      <c r="AB69" s="12"/>
      <c r="AC69" s="12"/>
      <c r="AD69" s="12"/>
    </row>
    <row r="70" ht="14.25" customHeight="1">
      <c r="A70" s="11">
        <v>2.0</v>
      </c>
      <c r="B70" s="12" t="s">
        <v>26</v>
      </c>
      <c r="C70" s="12">
        <v>10.0</v>
      </c>
      <c r="D70" s="11" t="s">
        <v>34</v>
      </c>
      <c r="E70" s="12" t="s">
        <v>26</v>
      </c>
      <c r="F70" s="12">
        <v>8.0</v>
      </c>
      <c r="G70" s="11" t="s">
        <v>119</v>
      </c>
      <c r="H70" s="12" t="s">
        <v>53</v>
      </c>
      <c r="I70" s="12" t="s">
        <v>58</v>
      </c>
      <c r="J70" s="12">
        <f t="shared" ref="J70:J72" si="69">J69-M69</f>
        <v>10</v>
      </c>
      <c r="K70" s="12">
        <v>-25.0</v>
      </c>
      <c r="L70" s="12">
        <v>-21.0</v>
      </c>
      <c r="M70" s="12">
        <v>4.0</v>
      </c>
      <c r="N70" s="12" t="s">
        <v>64</v>
      </c>
      <c r="O70" s="12">
        <f t="shared" si="1"/>
        <v>6</v>
      </c>
      <c r="P70" s="14">
        <v>3.406558</v>
      </c>
      <c r="Q70" s="14">
        <v>3.162146</v>
      </c>
      <c r="R70" s="14">
        <v>-0.24441</v>
      </c>
      <c r="S70" s="12">
        <v>10.0</v>
      </c>
      <c r="T70" s="12" t="s">
        <v>28</v>
      </c>
      <c r="U70" s="12" t="s">
        <v>114</v>
      </c>
      <c r="V70" s="12" t="str">
        <f>D70 &amp; H70 &amp; " completo para " &amp;G70 &amp; "para " &amp; M70 &amp; " yardas" </f>
        <v>Sergio Resendiz Pase completo para Luis Ángel Olvera para 4 yardas</v>
      </c>
      <c r="W70" s="10">
        <f t="shared" ref="W70:X70" si="68">W69</f>
        <v>7</v>
      </c>
      <c r="X70" s="10">
        <f t="shared" si="68"/>
        <v>12</v>
      </c>
      <c r="Y70" s="12"/>
      <c r="Z70" s="12"/>
      <c r="AA70" s="12"/>
      <c r="AB70" s="12"/>
      <c r="AC70" s="12"/>
      <c r="AD70" s="12"/>
    </row>
    <row r="71" ht="14.25" customHeight="1">
      <c r="A71" s="11">
        <v>2.0</v>
      </c>
      <c r="B71" s="12" t="s">
        <v>26</v>
      </c>
      <c r="C71" s="12">
        <v>10.0</v>
      </c>
      <c r="D71" s="11" t="s">
        <v>34</v>
      </c>
      <c r="E71" s="12" t="s">
        <v>26</v>
      </c>
      <c r="F71" s="12">
        <v>10.0</v>
      </c>
      <c r="G71" s="11" t="s">
        <v>34</v>
      </c>
      <c r="H71" s="12" t="s">
        <v>38</v>
      </c>
      <c r="I71" s="12" t="s">
        <v>69</v>
      </c>
      <c r="J71" s="12">
        <f t="shared" si="69"/>
        <v>6</v>
      </c>
      <c r="K71" s="12">
        <v>-21.0</v>
      </c>
      <c r="L71" s="12">
        <v>-17.0</v>
      </c>
      <c r="M71" s="12">
        <v>4.0</v>
      </c>
      <c r="N71" s="12" t="s">
        <v>70</v>
      </c>
      <c r="O71" s="12">
        <f t="shared" si="1"/>
        <v>2</v>
      </c>
      <c r="P71" s="14">
        <v>3.162146</v>
      </c>
      <c r="Q71" s="14">
        <v>2.576926</v>
      </c>
      <c r="R71" s="14">
        <v>-0.58522</v>
      </c>
      <c r="S71" s="12">
        <v>2.0</v>
      </c>
      <c r="T71" s="12" t="s">
        <v>28</v>
      </c>
      <c r="U71" s="12" t="s">
        <v>86</v>
      </c>
      <c r="V71" s="12" t="str">
        <f t="shared" ref="V71:V72" si="71">G71 &amp; "para " &amp; M71 &amp; " yardas, " &amp; N71</f>
        <v>Sergio Resendiz para 4 yardas, 4to down</v>
      </c>
      <c r="W71" s="10">
        <f t="shared" ref="W71:X71" si="70">W70</f>
        <v>7</v>
      </c>
      <c r="X71" s="10">
        <f t="shared" si="70"/>
        <v>12</v>
      </c>
      <c r="Y71" s="12"/>
      <c r="Z71" s="12"/>
      <c r="AA71" s="12"/>
      <c r="AB71" s="12"/>
      <c r="AC71" s="12"/>
      <c r="AD71" s="12"/>
    </row>
    <row r="72" ht="14.25" customHeight="1">
      <c r="A72" s="11">
        <v>2.0</v>
      </c>
      <c r="B72" s="12" t="s">
        <v>26</v>
      </c>
      <c r="C72" s="12">
        <v>10.0</v>
      </c>
      <c r="D72" s="11" t="s">
        <v>34</v>
      </c>
      <c r="E72" s="12" t="s">
        <v>26</v>
      </c>
      <c r="F72" s="12">
        <v>10.0</v>
      </c>
      <c r="G72" s="11" t="s">
        <v>34</v>
      </c>
      <c r="H72" s="12" t="s">
        <v>38</v>
      </c>
      <c r="I72" s="12" t="s">
        <v>74</v>
      </c>
      <c r="J72" s="12">
        <f t="shared" si="69"/>
        <v>2</v>
      </c>
      <c r="K72" s="12">
        <v>-17.0</v>
      </c>
      <c r="L72" s="12">
        <v>-12.0</v>
      </c>
      <c r="M72" s="12">
        <v>5.0</v>
      </c>
      <c r="N72" s="12" t="s">
        <v>48</v>
      </c>
      <c r="O72" s="12">
        <f t="shared" si="1"/>
        <v>10</v>
      </c>
      <c r="P72" s="14">
        <v>2.576926</v>
      </c>
      <c r="Q72" s="14">
        <v>4.38361</v>
      </c>
      <c r="R72" s="14">
        <v>1.806684</v>
      </c>
      <c r="S72" s="12">
        <v>29.0</v>
      </c>
      <c r="T72" s="12" t="s">
        <v>28</v>
      </c>
      <c r="U72" s="12" t="s">
        <v>80</v>
      </c>
      <c r="V72" s="12" t="str">
        <f t="shared" si="71"/>
        <v>Sergio Resendiz para 5 yardas, 1er down</v>
      </c>
      <c r="W72" s="10">
        <f t="shared" ref="W72:X72" si="72">W71</f>
        <v>7</v>
      </c>
      <c r="X72" s="10">
        <f t="shared" si="72"/>
        <v>12</v>
      </c>
      <c r="Y72" s="12"/>
      <c r="Z72" s="12"/>
      <c r="AA72" s="12"/>
      <c r="AB72" s="12"/>
      <c r="AC72" s="12"/>
      <c r="AD72" s="12"/>
    </row>
    <row r="73" ht="14.25" customHeight="1">
      <c r="A73" s="11">
        <v>2.0</v>
      </c>
      <c r="B73" s="12" t="s">
        <v>26</v>
      </c>
      <c r="C73" s="12" t="s">
        <v>27</v>
      </c>
      <c r="D73" s="12" t="s">
        <v>27</v>
      </c>
      <c r="E73" s="12" t="s">
        <v>28</v>
      </c>
      <c r="F73" s="12" t="s">
        <v>27</v>
      </c>
      <c r="G73" s="12" t="s">
        <v>27</v>
      </c>
      <c r="H73" s="12" t="s">
        <v>161</v>
      </c>
      <c r="I73" s="12" t="s">
        <v>39</v>
      </c>
      <c r="J73" s="10">
        <v>10.0</v>
      </c>
      <c r="K73" s="12">
        <v>-12.0</v>
      </c>
      <c r="L73" s="12">
        <v>-6.0</v>
      </c>
      <c r="M73" s="12">
        <v>6.0</v>
      </c>
      <c r="N73" s="12" t="s">
        <v>48</v>
      </c>
      <c r="O73" s="12" t="str">
        <f t="shared" si="1"/>
        <v/>
      </c>
      <c r="P73" s="14">
        <v>4.38361</v>
      </c>
      <c r="Q73" s="13">
        <v>5.334811449</v>
      </c>
      <c r="R73" s="14">
        <f t="shared" ref="R73:R74" si="74">Q73-P73</f>
        <v>0.951201449</v>
      </c>
      <c r="S73" s="12" t="s">
        <v>27</v>
      </c>
      <c r="T73" s="12" t="s">
        <v>27</v>
      </c>
      <c r="U73" s="12" t="s">
        <v>27</v>
      </c>
      <c r="V73" s="12" t="str">
        <f t="shared" ref="V73:V74" si="75">H73 &amp; ", " &amp; M73 &amp; " yardas"</f>
        <v>Castigo a la defensiva, 6 yardas</v>
      </c>
      <c r="W73" s="10">
        <f t="shared" ref="W73:X73" si="73">W72</f>
        <v>7</v>
      </c>
      <c r="X73" s="10">
        <f t="shared" si="73"/>
        <v>12</v>
      </c>
      <c r="Y73" s="12"/>
      <c r="Z73" s="12"/>
      <c r="AA73" s="12"/>
      <c r="AB73" s="12"/>
      <c r="AC73" s="12"/>
      <c r="AD73" s="12"/>
    </row>
    <row r="74" ht="14.25" customHeight="1">
      <c r="A74" s="11">
        <v>2.0</v>
      </c>
      <c r="B74" s="12" t="s">
        <v>26</v>
      </c>
      <c r="C74" s="12" t="s">
        <v>27</v>
      </c>
      <c r="D74" s="12" t="s">
        <v>27</v>
      </c>
      <c r="E74" s="12" t="s">
        <v>26</v>
      </c>
      <c r="F74" s="12" t="s">
        <v>27</v>
      </c>
      <c r="G74" s="12" t="s">
        <v>27</v>
      </c>
      <c r="H74" s="12" t="s">
        <v>106</v>
      </c>
      <c r="I74" s="12" t="s">
        <v>27</v>
      </c>
      <c r="J74" s="12"/>
      <c r="K74" s="12">
        <v>-6.0</v>
      </c>
      <c r="L74" s="12">
        <v>-21.0</v>
      </c>
      <c r="M74" s="12">
        <v>-15.0</v>
      </c>
      <c r="N74" s="12" t="s">
        <v>48</v>
      </c>
      <c r="O74" s="12">
        <f t="shared" si="1"/>
        <v>10</v>
      </c>
      <c r="P74" s="13">
        <v>5.334811449</v>
      </c>
      <c r="Q74" s="14">
        <v>4.085037</v>
      </c>
      <c r="R74" s="14">
        <f t="shared" si="74"/>
        <v>-1.249774449</v>
      </c>
      <c r="S74" s="12" t="s">
        <v>27</v>
      </c>
      <c r="T74" s="12" t="s">
        <v>27</v>
      </c>
      <c r="U74" s="12" t="s">
        <v>27</v>
      </c>
      <c r="V74" s="12" t="str">
        <f t="shared" si="75"/>
        <v>Castigo a la ofensiva, -15 yardas</v>
      </c>
      <c r="W74" s="10">
        <f t="shared" ref="W74:X74" si="76">W73</f>
        <v>7</v>
      </c>
      <c r="X74" s="10">
        <f t="shared" si="76"/>
        <v>12</v>
      </c>
      <c r="Y74" s="12"/>
      <c r="Z74" s="12"/>
      <c r="AA74" s="12"/>
      <c r="AB74" s="12"/>
      <c r="AC74" s="12"/>
      <c r="AD74" s="12"/>
    </row>
    <row r="75" ht="14.25" customHeight="1">
      <c r="A75" s="11">
        <v>2.0</v>
      </c>
      <c r="B75" s="12" t="s">
        <v>26</v>
      </c>
      <c r="C75" s="12">
        <v>10.0</v>
      </c>
      <c r="D75" s="11" t="s">
        <v>34</v>
      </c>
      <c r="E75" s="12" t="s">
        <v>26</v>
      </c>
      <c r="F75" s="12">
        <v>31.0</v>
      </c>
      <c r="G75" s="11" t="s">
        <v>35</v>
      </c>
      <c r="H75" s="12" t="s">
        <v>53</v>
      </c>
      <c r="I75" s="12" t="s">
        <v>39</v>
      </c>
      <c r="J75" s="10">
        <v>10.0</v>
      </c>
      <c r="K75" s="12">
        <v>-21.0</v>
      </c>
      <c r="L75" s="12">
        <v>-5.0</v>
      </c>
      <c r="M75" s="12">
        <v>16.0</v>
      </c>
      <c r="N75" s="12" t="s">
        <v>48</v>
      </c>
      <c r="O75" s="12">
        <f t="shared" si="1"/>
        <v>5</v>
      </c>
      <c r="P75" s="14">
        <v>4.085037</v>
      </c>
      <c r="Q75" s="14">
        <v>5.436957</v>
      </c>
      <c r="R75" s="14">
        <v>1.35192</v>
      </c>
      <c r="S75" s="12" t="s">
        <v>27</v>
      </c>
      <c r="T75" s="12" t="s">
        <v>27</v>
      </c>
      <c r="U75" s="12" t="s">
        <v>27</v>
      </c>
      <c r="V75" s="12" t="str">
        <f>D75 &amp; H75 &amp; " completo para " &amp;G75 &amp; "para " &amp; M75 &amp; " yardas" </f>
        <v>Sergio Resendiz Pase completo para Ángel Alvarado para 16 yardas</v>
      </c>
      <c r="W75" s="10">
        <f t="shared" ref="W75:X75" si="77">W74</f>
        <v>7</v>
      </c>
      <c r="X75" s="10">
        <f t="shared" si="77"/>
        <v>12</v>
      </c>
      <c r="Y75" s="12"/>
      <c r="Z75" s="12"/>
      <c r="AA75" s="12"/>
      <c r="AB75" s="12"/>
      <c r="AC75" s="12"/>
      <c r="AD75" s="12"/>
    </row>
    <row r="76" ht="14.25" customHeight="1">
      <c r="A76" s="11">
        <v>2.0</v>
      </c>
      <c r="B76" s="12" t="s">
        <v>26</v>
      </c>
      <c r="C76" s="12">
        <v>10.0</v>
      </c>
      <c r="D76" s="11" t="s">
        <v>34</v>
      </c>
      <c r="E76" s="12" t="s">
        <v>26</v>
      </c>
      <c r="F76" s="12">
        <v>21.0</v>
      </c>
      <c r="G76" s="12" t="s">
        <v>77</v>
      </c>
      <c r="H76" s="12" t="s">
        <v>38</v>
      </c>
      <c r="I76" s="12" t="s">
        <v>39</v>
      </c>
      <c r="J76" s="10">
        <v>5.0</v>
      </c>
      <c r="K76" s="12">
        <v>-5.0</v>
      </c>
      <c r="L76" s="12">
        <v>0.0</v>
      </c>
      <c r="M76" s="12">
        <v>5.0</v>
      </c>
      <c r="N76" s="12" t="s">
        <v>40</v>
      </c>
      <c r="O76" s="12" t="str">
        <f t="shared" si="1"/>
        <v/>
      </c>
      <c r="P76" s="14">
        <v>5.436957</v>
      </c>
      <c r="Q76" s="14">
        <v>7.0</v>
      </c>
      <c r="R76" s="14">
        <v>1.563043</v>
      </c>
      <c r="S76" s="12" t="s">
        <v>27</v>
      </c>
      <c r="T76" s="12" t="s">
        <v>27</v>
      </c>
      <c r="U76" s="12" t="s">
        <v>27</v>
      </c>
      <c r="V76" s="12" t="str">
        <f>G76 &amp; "para " &amp; M76 &amp; " yardas, " &amp; N76</f>
        <v>Eduardo Martínez Alvaradopara 5 yardas, TD</v>
      </c>
      <c r="W76" s="10">
        <f t="shared" ref="W76:W85" si="78">W75</f>
        <v>7</v>
      </c>
      <c r="X76" s="10">
        <v>18.0</v>
      </c>
      <c r="Y76" s="12"/>
      <c r="Z76" s="12"/>
      <c r="AA76" s="12"/>
      <c r="AB76" s="12"/>
      <c r="AC76" s="12"/>
      <c r="AD76" s="12"/>
    </row>
    <row r="77" ht="14.25" customHeight="1">
      <c r="A77" s="11">
        <v>2.0</v>
      </c>
      <c r="B77" s="12" t="s">
        <v>26</v>
      </c>
      <c r="C77" s="12" t="s">
        <v>27</v>
      </c>
      <c r="D77" s="12" t="s">
        <v>27</v>
      </c>
      <c r="E77" s="12" t="s">
        <v>26</v>
      </c>
      <c r="F77" s="12">
        <v>42.0</v>
      </c>
      <c r="G77" s="12" t="s">
        <v>42</v>
      </c>
      <c r="H77" s="12" t="s">
        <v>43</v>
      </c>
      <c r="I77" s="12" t="s">
        <v>27</v>
      </c>
      <c r="J77" s="12"/>
      <c r="K77" s="12">
        <v>-10.0</v>
      </c>
      <c r="L77" s="12">
        <v>0.0</v>
      </c>
      <c r="M77" s="12">
        <v>20.0</v>
      </c>
      <c r="N77" s="12" t="s">
        <v>146</v>
      </c>
      <c r="O77" s="12" t="str">
        <f t="shared" si="1"/>
        <v/>
      </c>
      <c r="P77" s="15"/>
      <c r="Q77" s="15"/>
      <c r="R77" s="14">
        <v>0.0</v>
      </c>
      <c r="S77" s="12" t="s">
        <v>27</v>
      </c>
      <c r="T77" s="12" t="s">
        <v>27</v>
      </c>
      <c r="U77" s="12" t="s">
        <v>27</v>
      </c>
      <c r="V77" s="12" t="str">
        <f>G77 &amp; " " &amp; N77</f>
        <v>Reynaldo Adolfo Blanco Palomo PAT exitosa</v>
      </c>
      <c r="W77" s="10">
        <f t="shared" si="78"/>
        <v>7</v>
      </c>
      <c r="X77" s="10">
        <v>19.0</v>
      </c>
      <c r="Y77" s="12"/>
      <c r="Z77" s="12"/>
      <c r="AA77" s="12"/>
      <c r="AB77" s="12"/>
      <c r="AC77" s="12"/>
      <c r="AD77" s="12"/>
    </row>
    <row r="78" ht="14.25" customHeight="1">
      <c r="A78" s="11">
        <v>2.0</v>
      </c>
      <c r="B78" s="12" t="s">
        <v>26</v>
      </c>
      <c r="C78" s="12" t="s">
        <v>27</v>
      </c>
      <c r="D78" s="12" t="s">
        <v>27</v>
      </c>
      <c r="E78" s="12" t="s">
        <v>26</v>
      </c>
      <c r="F78" s="12">
        <v>42.0</v>
      </c>
      <c r="G78" s="12" t="s">
        <v>42</v>
      </c>
      <c r="H78" s="12" t="s">
        <v>31</v>
      </c>
      <c r="I78" s="12" t="s">
        <v>27</v>
      </c>
      <c r="J78" s="12"/>
      <c r="K78" s="12">
        <v>35.0</v>
      </c>
      <c r="L78" s="12">
        <v>-12.0</v>
      </c>
      <c r="M78" s="12">
        <v>53.0</v>
      </c>
      <c r="N78" s="12" t="s">
        <v>167</v>
      </c>
      <c r="O78" s="12" t="str">
        <f t="shared" si="1"/>
        <v/>
      </c>
      <c r="P78" s="13">
        <v>0.0</v>
      </c>
      <c r="Q78" s="14">
        <v>0.156353</v>
      </c>
      <c r="R78" s="14">
        <f>Q78-P80</f>
        <v>0.156353</v>
      </c>
      <c r="S78" s="12" t="s">
        <v>27</v>
      </c>
      <c r="T78" s="12" t="s">
        <v>27</v>
      </c>
      <c r="U78" s="12" t="s">
        <v>27</v>
      </c>
      <c r="V78" s="12" t="str">
        <f>G78 &amp; " kicks off " &amp; M78 &amp; " yardas, " &amp; N78 &amp; " por " &amp; G79 &amp; " para " &amp; M79 &amp; " yardas"</f>
        <v>Reynaldo Adolfo Blanco Palomo kicks off 53 yardas, Regreso por Alejandro Cruz  para 23 yardas</v>
      </c>
      <c r="W78" s="10">
        <f t="shared" si="78"/>
        <v>7</v>
      </c>
      <c r="X78" s="10">
        <f t="shared" ref="X78:X86" si="79">X77</f>
        <v>19</v>
      </c>
      <c r="Y78" s="12"/>
      <c r="Z78" s="12"/>
      <c r="AA78" s="12"/>
      <c r="AB78" s="12"/>
      <c r="AC78" s="12"/>
      <c r="AD78" s="12"/>
    </row>
    <row r="79" ht="14.25" customHeight="1">
      <c r="A79" s="11">
        <v>2.0</v>
      </c>
      <c r="B79" s="12" t="s">
        <v>28</v>
      </c>
      <c r="C79" s="12" t="s">
        <v>27</v>
      </c>
      <c r="D79" s="12" t="s">
        <v>27</v>
      </c>
      <c r="E79" s="12" t="s">
        <v>28</v>
      </c>
      <c r="F79" s="12">
        <v>23.0</v>
      </c>
      <c r="G79" s="11" t="s">
        <v>61</v>
      </c>
      <c r="H79" s="12" t="s">
        <v>47</v>
      </c>
      <c r="I79" s="12" t="s">
        <v>27</v>
      </c>
      <c r="J79" s="12"/>
      <c r="K79" s="12">
        <v>12.0</v>
      </c>
      <c r="L79" s="12">
        <v>35.0</v>
      </c>
      <c r="M79" s="12">
        <v>23.0</v>
      </c>
      <c r="N79" s="12" t="s">
        <v>48</v>
      </c>
      <c r="O79" s="12" t="str">
        <f t="shared" si="1"/>
        <v/>
      </c>
      <c r="P79" s="15"/>
      <c r="Q79" s="15"/>
      <c r="R79" s="14">
        <v>0.0</v>
      </c>
      <c r="S79" s="12" t="s">
        <v>27</v>
      </c>
      <c r="T79" s="12" t="s">
        <v>27</v>
      </c>
      <c r="U79" s="12" t="s">
        <v>27</v>
      </c>
      <c r="V79" s="12" t="s">
        <v>168</v>
      </c>
      <c r="W79" s="10">
        <f t="shared" si="78"/>
        <v>7</v>
      </c>
      <c r="X79" s="10">
        <f t="shared" si="79"/>
        <v>19</v>
      </c>
      <c r="Y79" s="12"/>
      <c r="Z79" s="12"/>
      <c r="AA79" s="12"/>
      <c r="AB79" s="12"/>
      <c r="AC79" s="12"/>
      <c r="AD79" s="12"/>
    </row>
    <row r="80" ht="14.25" customHeight="1">
      <c r="A80" s="11">
        <v>2.0</v>
      </c>
      <c r="B80" s="12" t="s">
        <v>28</v>
      </c>
      <c r="C80" s="12" t="s">
        <v>27</v>
      </c>
      <c r="D80" s="12" t="s">
        <v>27</v>
      </c>
      <c r="E80" s="12" t="s">
        <v>28</v>
      </c>
      <c r="F80" s="12" t="s">
        <v>27</v>
      </c>
      <c r="G80" s="12" t="s">
        <v>27</v>
      </c>
      <c r="H80" s="12" t="s">
        <v>106</v>
      </c>
      <c r="I80" s="12" t="s">
        <v>27</v>
      </c>
      <c r="J80" s="12"/>
      <c r="K80" s="12">
        <v>24.0</v>
      </c>
      <c r="L80" s="12">
        <v>14.0</v>
      </c>
      <c r="M80" s="12">
        <v>-10.0</v>
      </c>
      <c r="N80" s="12" t="s">
        <v>48</v>
      </c>
      <c r="O80" s="12">
        <f t="shared" si="1"/>
        <v>10</v>
      </c>
      <c r="P80" s="13"/>
      <c r="S80" s="12" t="s">
        <v>27</v>
      </c>
      <c r="T80" s="12" t="s">
        <v>27</v>
      </c>
      <c r="U80" s="12" t="s">
        <v>27</v>
      </c>
      <c r="V80" s="12" t="str">
        <f>H80 &amp; ", " &amp; M80 &amp; " yardas"</f>
        <v>Castigo a la ofensiva, -10 yardas</v>
      </c>
      <c r="W80" s="10">
        <f t="shared" si="78"/>
        <v>7</v>
      </c>
      <c r="X80" s="10">
        <f t="shared" si="79"/>
        <v>19</v>
      </c>
      <c r="Y80" s="12"/>
      <c r="Z80" s="12"/>
      <c r="AA80" s="12"/>
      <c r="AB80" s="12"/>
      <c r="AC80" s="12"/>
      <c r="AD80" s="12"/>
    </row>
    <row r="81" ht="14.25" customHeight="1">
      <c r="A81" s="11">
        <v>2.0</v>
      </c>
      <c r="B81" s="12" t="s">
        <v>28</v>
      </c>
      <c r="C81" s="12">
        <v>15.0</v>
      </c>
      <c r="D81" s="11" t="s">
        <v>51</v>
      </c>
      <c r="E81" s="12" t="s">
        <v>28</v>
      </c>
      <c r="F81" s="12">
        <v>23.0</v>
      </c>
      <c r="G81" s="11" t="s">
        <v>61</v>
      </c>
      <c r="H81" s="12" t="s">
        <v>38</v>
      </c>
      <c r="I81" s="12" t="s">
        <v>39</v>
      </c>
      <c r="J81" s="10">
        <v>10.0</v>
      </c>
      <c r="K81" s="10">
        <v>16.0</v>
      </c>
      <c r="L81" s="12">
        <v>21.0</v>
      </c>
      <c r="M81" s="10">
        <v>5.0</v>
      </c>
      <c r="N81" s="12" t="s">
        <v>54</v>
      </c>
      <c r="O81" s="12">
        <f t="shared" si="1"/>
        <v>5</v>
      </c>
      <c r="P81" s="14">
        <v>0.156353</v>
      </c>
      <c r="Q81" s="14">
        <v>0.237167</v>
      </c>
      <c r="R81" s="14">
        <v>0.080814</v>
      </c>
      <c r="S81" s="12" t="s">
        <v>27</v>
      </c>
      <c r="T81" s="12" t="s">
        <v>27</v>
      </c>
      <c r="U81" s="12" t="s">
        <v>27</v>
      </c>
      <c r="V81" s="12" t="str">
        <f t="shared" ref="V81:V82" si="80">G81 &amp; "para " &amp; M81 &amp; " yardas, " &amp; N81</f>
        <v>Alejandro Cruz para 5 yardas, 2do down</v>
      </c>
      <c r="W81" s="10">
        <f t="shared" si="78"/>
        <v>7</v>
      </c>
      <c r="X81" s="10">
        <f t="shared" si="79"/>
        <v>19</v>
      </c>
      <c r="Y81" s="12"/>
      <c r="Z81" s="12"/>
      <c r="AA81" s="12"/>
      <c r="AB81" s="12"/>
      <c r="AC81" s="12"/>
      <c r="AD81" s="12"/>
    </row>
    <row r="82" ht="14.25" customHeight="1">
      <c r="A82" s="11">
        <v>2.0</v>
      </c>
      <c r="B82" s="12" t="s">
        <v>28</v>
      </c>
      <c r="C82" s="12">
        <v>15.0</v>
      </c>
      <c r="D82" s="11" t="s">
        <v>51</v>
      </c>
      <c r="E82" s="12" t="s">
        <v>28</v>
      </c>
      <c r="F82" s="12">
        <v>15.0</v>
      </c>
      <c r="G82" s="11" t="s">
        <v>51</v>
      </c>
      <c r="H82" s="12" t="s">
        <v>38</v>
      </c>
      <c r="I82" s="12" t="s">
        <v>58</v>
      </c>
      <c r="J82" s="12">
        <f t="shared" ref="J82:J83" si="81">J81-M81</f>
        <v>5</v>
      </c>
      <c r="K82" s="12">
        <v>21.0</v>
      </c>
      <c r="L82" s="12">
        <v>23.0</v>
      </c>
      <c r="M82" s="12">
        <v>2.0</v>
      </c>
      <c r="N82" s="12" t="s">
        <v>64</v>
      </c>
      <c r="O82" s="12">
        <f t="shared" si="1"/>
        <v>3</v>
      </c>
      <c r="P82" s="14">
        <v>0.237167</v>
      </c>
      <c r="Q82" s="14">
        <v>-0.09611</v>
      </c>
      <c r="R82" s="14">
        <v>-0.33327</v>
      </c>
      <c r="S82" s="12">
        <v>2.0</v>
      </c>
      <c r="T82" s="12" t="s">
        <v>26</v>
      </c>
      <c r="U82" s="12" t="s">
        <v>62</v>
      </c>
      <c r="V82" s="12" t="str">
        <f t="shared" si="80"/>
        <v>Fernando Sarabia para 2 yardas, 3er down</v>
      </c>
      <c r="W82" s="10">
        <f t="shared" si="78"/>
        <v>7</v>
      </c>
      <c r="X82" s="10">
        <f t="shared" si="79"/>
        <v>19</v>
      </c>
      <c r="Y82" s="12"/>
      <c r="Z82" s="12"/>
      <c r="AA82" s="12"/>
      <c r="AB82" s="12"/>
      <c r="AC82" s="12"/>
      <c r="AD82" s="12"/>
    </row>
    <row r="83" ht="14.25" customHeight="1">
      <c r="A83" s="11">
        <v>2.0</v>
      </c>
      <c r="B83" s="12" t="s">
        <v>28</v>
      </c>
      <c r="C83" s="12">
        <v>15.0</v>
      </c>
      <c r="D83" s="11" t="s">
        <v>51</v>
      </c>
      <c r="E83" s="12" t="s">
        <v>28</v>
      </c>
      <c r="F83" s="12">
        <v>83.0</v>
      </c>
      <c r="G83" s="12" t="s">
        <v>171</v>
      </c>
      <c r="H83" s="12" t="s">
        <v>53</v>
      </c>
      <c r="I83" s="12" t="s">
        <v>69</v>
      </c>
      <c r="J83" s="12">
        <f t="shared" si="81"/>
        <v>3</v>
      </c>
      <c r="K83" s="12">
        <v>23.0</v>
      </c>
      <c r="L83" s="12">
        <v>39.0</v>
      </c>
      <c r="M83" s="12">
        <v>16.0</v>
      </c>
      <c r="N83" s="12" t="s">
        <v>48</v>
      </c>
      <c r="O83" s="12">
        <f t="shared" si="1"/>
        <v>10</v>
      </c>
      <c r="P83" s="14">
        <v>-0.09611</v>
      </c>
      <c r="Q83" s="14">
        <v>1.990539</v>
      </c>
      <c r="R83" s="14">
        <v>2.086645</v>
      </c>
      <c r="S83" s="12">
        <v>19.0</v>
      </c>
      <c r="T83" s="12" t="s">
        <v>26</v>
      </c>
      <c r="U83" s="12" t="s">
        <v>172</v>
      </c>
      <c r="V83" s="12" t="str">
        <f>D83 &amp; H83 &amp; " completo para " &amp;G83 &amp; "para " &amp; M83 &amp; " yardas" </f>
        <v>Fernando Sarabia Pase completo para Wilfredo Fausto Valdezpara 16 yardas</v>
      </c>
      <c r="W83" s="10">
        <f t="shared" si="78"/>
        <v>7</v>
      </c>
      <c r="X83" s="10">
        <f t="shared" si="79"/>
        <v>19</v>
      </c>
      <c r="Y83" s="12"/>
      <c r="Z83" s="12"/>
      <c r="AA83" s="12"/>
      <c r="AB83" s="12"/>
      <c r="AC83" s="12"/>
      <c r="AD83" s="12"/>
    </row>
    <row r="84" ht="14.25" customHeight="1">
      <c r="A84" s="11">
        <v>2.0</v>
      </c>
      <c r="B84" s="12" t="s">
        <v>28</v>
      </c>
      <c r="C84" s="12">
        <v>15.0</v>
      </c>
      <c r="D84" s="11" t="s">
        <v>51</v>
      </c>
      <c r="E84" s="12" t="s">
        <v>28</v>
      </c>
      <c r="F84" s="12">
        <v>4.0</v>
      </c>
      <c r="G84" s="11" t="s">
        <v>52</v>
      </c>
      <c r="H84" s="12" t="s">
        <v>117</v>
      </c>
      <c r="I84" s="12" t="s">
        <v>39</v>
      </c>
      <c r="J84" s="10">
        <v>10.0</v>
      </c>
      <c r="K84" s="12">
        <v>39.0</v>
      </c>
      <c r="L84" s="12">
        <v>39.0</v>
      </c>
      <c r="M84" s="12">
        <v>0.0</v>
      </c>
      <c r="N84" s="12" t="s">
        <v>54</v>
      </c>
      <c r="O84" s="12">
        <f t="shared" si="1"/>
        <v>10</v>
      </c>
      <c r="P84" s="14">
        <v>1.990539</v>
      </c>
      <c r="Q84" s="14">
        <v>1.399924</v>
      </c>
      <c r="R84" s="14">
        <v>-0.59062</v>
      </c>
      <c r="S84" s="12" t="s">
        <v>27</v>
      </c>
      <c r="T84" s="12" t="s">
        <v>27</v>
      </c>
      <c r="U84" s="12" t="s">
        <v>27</v>
      </c>
      <c r="V84" s="12" t="str">
        <f>D84 &amp; H84 &amp; " intencionado para " &amp; G84</f>
        <v>Fernando Sarabia Pase incompleto intencionado para Víctor Palacios </v>
      </c>
      <c r="W84" s="10">
        <f t="shared" si="78"/>
        <v>7</v>
      </c>
      <c r="X84" s="10">
        <f t="shared" si="79"/>
        <v>19</v>
      </c>
      <c r="Y84" s="12"/>
      <c r="Z84" s="12"/>
      <c r="AA84" s="12"/>
      <c r="AB84" s="12"/>
      <c r="AC84" s="12"/>
      <c r="AD84" s="12"/>
    </row>
    <row r="85" ht="14.25" customHeight="1">
      <c r="A85" s="11">
        <v>2.0</v>
      </c>
      <c r="B85" s="12" t="s">
        <v>28</v>
      </c>
      <c r="C85" s="12">
        <v>15.0</v>
      </c>
      <c r="D85" s="11" t="s">
        <v>51</v>
      </c>
      <c r="E85" s="12" t="s">
        <v>28</v>
      </c>
      <c r="F85" s="12">
        <v>4.0</v>
      </c>
      <c r="G85" s="11" t="s">
        <v>52</v>
      </c>
      <c r="H85" s="12" t="s">
        <v>53</v>
      </c>
      <c r="I85" s="12" t="s">
        <v>58</v>
      </c>
      <c r="J85" s="12">
        <f>J84-M84</f>
        <v>10</v>
      </c>
      <c r="K85" s="12">
        <v>39.0</v>
      </c>
      <c r="L85" s="12">
        <v>-36.0</v>
      </c>
      <c r="M85" s="12">
        <v>25.0</v>
      </c>
      <c r="N85" s="12" t="s">
        <v>48</v>
      </c>
      <c r="O85" s="12">
        <f t="shared" si="1"/>
        <v>10</v>
      </c>
      <c r="P85" s="14">
        <v>1.399924</v>
      </c>
      <c r="Q85" s="14">
        <v>3.450473</v>
      </c>
      <c r="R85" s="14">
        <v>2.050549</v>
      </c>
      <c r="S85" s="12">
        <v>22.0</v>
      </c>
      <c r="T85" s="12" t="s">
        <v>26</v>
      </c>
      <c r="U85" s="12" t="s">
        <v>174</v>
      </c>
      <c r="V85" s="12" t="str">
        <f>D85 &amp; H85 &amp; " completo para " &amp;G85 &amp; "para " &amp; M85 &amp; " yardas" </f>
        <v>Fernando Sarabia Pase completo para Víctor Palacios para 25 yardas</v>
      </c>
      <c r="W85" s="10">
        <f t="shared" si="78"/>
        <v>7</v>
      </c>
      <c r="X85" s="10">
        <f t="shared" si="79"/>
        <v>19</v>
      </c>
      <c r="Y85" s="12"/>
      <c r="Z85" s="12"/>
      <c r="AA85" s="12"/>
      <c r="AB85" s="12"/>
      <c r="AC85" s="12"/>
      <c r="AD85" s="12"/>
    </row>
    <row r="86" ht="14.25" customHeight="1">
      <c r="A86" s="11">
        <v>2.0</v>
      </c>
      <c r="B86" s="12" t="s">
        <v>28</v>
      </c>
      <c r="C86" s="12">
        <v>15.0</v>
      </c>
      <c r="D86" s="11" t="s">
        <v>51</v>
      </c>
      <c r="E86" s="12" t="s">
        <v>28</v>
      </c>
      <c r="F86" s="12">
        <v>28.0</v>
      </c>
      <c r="G86" s="10" t="s">
        <v>176</v>
      </c>
      <c r="H86" s="12" t="s">
        <v>94</v>
      </c>
      <c r="I86" s="10" t="s">
        <v>39</v>
      </c>
      <c r="J86" s="10">
        <v>10.0</v>
      </c>
      <c r="K86" s="10">
        <v>-36.0</v>
      </c>
      <c r="L86" s="12">
        <v>0.0</v>
      </c>
      <c r="M86" s="12">
        <v>53.0</v>
      </c>
      <c r="N86" s="12" t="s">
        <v>95</v>
      </c>
      <c r="O86" s="12" t="str">
        <f t="shared" si="1"/>
        <v/>
      </c>
      <c r="P86" s="14">
        <v>3.450473</v>
      </c>
      <c r="Q86" s="13">
        <v>3.0</v>
      </c>
      <c r="R86" s="14">
        <f>Q86-P86</f>
        <v>-0.450473</v>
      </c>
      <c r="S86" s="12" t="s">
        <v>27</v>
      </c>
      <c r="T86" s="12" t="s">
        <v>27</v>
      </c>
      <c r="U86" s="12" t="s">
        <v>27</v>
      </c>
      <c r="V86" s="12" t="str">
        <f>G86 &amp; N86</f>
        <v>Roberto Medina FG bueno</v>
      </c>
      <c r="W86" s="10">
        <v>10.0</v>
      </c>
      <c r="X86" s="10">
        <f t="shared" si="79"/>
        <v>19</v>
      </c>
      <c r="Y86" s="12"/>
      <c r="Z86" s="12"/>
      <c r="AA86" s="12"/>
      <c r="AB86" s="12"/>
      <c r="AC86" s="12"/>
      <c r="AD86" s="12"/>
    </row>
    <row r="87" ht="14.25" customHeight="1">
      <c r="A87" s="11">
        <v>3.0</v>
      </c>
      <c r="B87" s="12" t="s">
        <v>26</v>
      </c>
      <c r="C87" s="12" t="s">
        <v>27</v>
      </c>
      <c r="D87" s="12" t="s">
        <v>27</v>
      </c>
      <c r="E87" s="12" t="s">
        <v>26</v>
      </c>
      <c r="F87" s="12">
        <v>42.0</v>
      </c>
      <c r="G87" s="12" t="s">
        <v>42</v>
      </c>
      <c r="H87" s="12" t="s">
        <v>31</v>
      </c>
      <c r="I87" s="12" t="s">
        <v>27</v>
      </c>
      <c r="J87" s="12"/>
      <c r="K87" s="12">
        <v>35.0</v>
      </c>
      <c r="L87" s="12">
        <v>-6.0</v>
      </c>
      <c r="M87" s="12">
        <v>59.0</v>
      </c>
      <c r="N87" s="12" t="s">
        <v>167</v>
      </c>
      <c r="O87" s="12" t="str">
        <f t="shared" si="1"/>
        <v/>
      </c>
      <c r="P87" s="15"/>
      <c r="Q87" s="15"/>
      <c r="R87" s="14">
        <v>0.0</v>
      </c>
      <c r="S87" s="12" t="s">
        <v>27</v>
      </c>
      <c r="T87" s="12" t="s">
        <v>27</v>
      </c>
      <c r="U87" s="12" t="s">
        <v>27</v>
      </c>
      <c r="V87" s="12" t="str">
        <f>G87 &amp; " kicks off " &amp; M87 &amp; " yardas, " &amp; N87 &amp; " por " &amp; G88 &amp; " para " &amp; M88 &amp; " yardas"</f>
        <v>Reynaldo Adolfo Blanco Palomo kicks off 59 yardas, Regreso por Alejandro Cruz  para 13 yardas</v>
      </c>
      <c r="W87" s="10">
        <f t="shared" ref="W87:X87" si="82">W86</f>
        <v>10</v>
      </c>
      <c r="X87" s="10">
        <f t="shared" si="82"/>
        <v>19</v>
      </c>
      <c r="Y87" s="12"/>
      <c r="Z87" s="12"/>
      <c r="AA87" s="12"/>
      <c r="AB87" s="12"/>
      <c r="AC87" s="12"/>
      <c r="AD87" s="12"/>
    </row>
    <row r="88" ht="14.25" customHeight="1">
      <c r="A88" s="10">
        <v>3.0</v>
      </c>
      <c r="B88" s="12" t="s">
        <v>28</v>
      </c>
      <c r="C88" s="12" t="s">
        <v>27</v>
      </c>
      <c r="D88" s="12" t="s">
        <v>27</v>
      </c>
      <c r="E88" s="12" t="s">
        <v>28</v>
      </c>
      <c r="F88" s="12">
        <v>23.0</v>
      </c>
      <c r="G88" s="11" t="s">
        <v>61</v>
      </c>
      <c r="H88" s="12" t="s">
        <v>47</v>
      </c>
      <c r="I88" s="12" t="s">
        <v>27</v>
      </c>
      <c r="J88" s="12"/>
      <c r="K88" s="12">
        <v>6.0</v>
      </c>
      <c r="L88" s="12">
        <v>19.0</v>
      </c>
      <c r="M88" s="12">
        <v>13.0</v>
      </c>
      <c r="N88" s="12" t="s">
        <v>48</v>
      </c>
      <c r="O88" s="12">
        <f t="shared" si="1"/>
        <v>10</v>
      </c>
      <c r="P88" s="15"/>
      <c r="Q88" s="15"/>
      <c r="R88" s="14">
        <v>0.0</v>
      </c>
      <c r="S88" s="12">
        <v>5.0</v>
      </c>
      <c r="T88" s="12" t="s">
        <v>26</v>
      </c>
      <c r="U88" s="12" t="s">
        <v>178</v>
      </c>
      <c r="V88" s="12" t="s">
        <v>179</v>
      </c>
      <c r="W88" s="10">
        <f t="shared" ref="W88:X88" si="83">W87</f>
        <v>10</v>
      </c>
      <c r="X88" s="10">
        <f t="shared" si="83"/>
        <v>19</v>
      </c>
      <c r="Y88" s="12"/>
      <c r="Z88" s="12"/>
      <c r="AA88" s="12"/>
      <c r="AB88" s="12"/>
      <c r="AC88" s="12"/>
      <c r="AD88" s="12"/>
    </row>
    <row r="89" ht="14.25" customHeight="1">
      <c r="A89" s="11">
        <v>3.0</v>
      </c>
      <c r="B89" s="12" t="s">
        <v>28</v>
      </c>
      <c r="C89" s="12">
        <v>15.0</v>
      </c>
      <c r="D89" s="11" t="s">
        <v>51</v>
      </c>
      <c r="E89" s="12" t="s">
        <v>28</v>
      </c>
      <c r="F89" s="12">
        <v>4.0</v>
      </c>
      <c r="G89" s="11" t="s">
        <v>52</v>
      </c>
      <c r="H89" s="12" t="s">
        <v>53</v>
      </c>
      <c r="I89" s="12" t="s">
        <v>39</v>
      </c>
      <c r="J89" s="10">
        <v>10.0</v>
      </c>
      <c r="K89" s="12">
        <v>19.0</v>
      </c>
      <c r="L89" s="12">
        <v>30.0</v>
      </c>
      <c r="M89" s="12">
        <v>11.0</v>
      </c>
      <c r="N89" s="12" t="s">
        <v>48</v>
      </c>
      <c r="O89" s="12">
        <f t="shared" si="1"/>
        <v>10</v>
      </c>
      <c r="P89" s="14">
        <v>0.402766</v>
      </c>
      <c r="Q89" s="14">
        <v>1.297875</v>
      </c>
      <c r="R89" s="14">
        <v>0.895109</v>
      </c>
      <c r="S89" s="12">
        <v>0.0</v>
      </c>
      <c r="T89" s="12" t="s">
        <v>26</v>
      </c>
      <c r="U89" s="12" t="s">
        <v>103</v>
      </c>
      <c r="V89" s="12" t="str">
        <f>D89 &amp; H89 &amp; " completo para " &amp;G89 &amp; "para " &amp; M89 &amp; " yardas" </f>
        <v>Fernando Sarabia Pase completo para Víctor Palacios para 11 yardas</v>
      </c>
      <c r="W89" s="10">
        <f t="shared" ref="W89:X89" si="84">W88</f>
        <v>10</v>
      </c>
      <c r="X89" s="10">
        <f t="shared" si="84"/>
        <v>19</v>
      </c>
      <c r="Y89" s="12"/>
      <c r="Z89" s="12"/>
      <c r="AA89" s="12"/>
      <c r="AB89" s="12"/>
      <c r="AC89" s="12"/>
      <c r="AD89" s="12"/>
    </row>
    <row r="90" ht="14.25" customHeight="1">
      <c r="A90" s="11">
        <v>3.0</v>
      </c>
      <c r="B90" s="12" t="s">
        <v>28</v>
      </c>
      <c r="C90" s="12">
        <v>15.0</v>
      </c>
      <c r="D90" s="11" t="s">
        <v>51</v>
      </c>
      <c r="E90" s="12" t="s">
        <v>28</v>
      </c>
      <c r="F90" s="12">
        <v>23.0</v>
      </c>
      <c r="G90" s="11" t="s">
        <v>61</v>
      </c>
      <c r="H90" s="12" t="s">
        <v>38</v>
      </c>
      <c r="I90" s="12" t="s">
        <v>39</v>
      </c>
      <c r="J90" s="10">
        <v>10.0</v>
      </c>
      <c r="K90" s="12">
        <v>30.0</v>
      </c>
      <c r="L90" s="12">
        <v>34.0</v>
      </c>
      <c r="M90" s="12">
        <v>4.0</v>
      </c>
      <c r="N90" s="12" t="s">
        <v>54</v>
      </c>
      <c r="O90" s="12">
        <f t="shared" si="1"/>
        <v>6</v>
      </c>
      <c r="P90" s="14">
        <v>1.297875</v>
      </c>
      <c r="Q90" s="14">
        <v>1.252392</v>
      </c>
      <c r="R90" s="14">
        <v>-0.04548</v>
      </c>
      <c r="S90" s="12">
        <v>2.0</v>
      </c>
      <c r="T90" s="12" t="s">
        <v>26</v>
      </c>
      <c r="U90" s="12" t="s">
        <v>62</v>
      </c>
      <c r="V90" s="12" t="str">
        <f>G90 &amp; "para " &amp; M90 &amp; " yardas, " &amp; N90</f>
        <v>Alejandro Cruz para 4 yardas, 2do down</v>
      </c>
      <c r="W90" s="10">
        <f t="shared" ref="W90:X90" si="85">W89</f>
        <v>10</v>
      </c>
      <c r="X90" s="10">
        <f t="shared" si="85"/>
        <v>19</v>
      </c>
      <c r="Y90" s="12"/>
      <c r="Z90" s="12"/>
      <c r="AA90" s="12"/>
      <c r="AB90" s="12"/>
      <c r="AC90" s="12"/>
      <c r="AD90" s="12"/>
    </row>
    <row r="91" ht="14.25" customHeight="1">
      <c r="A91" s="11">
        <v>3.0</v>
      </c>
      <c r="B91" s="12" t="s">
        <v>28</v>
      </c>
      <c r="C91" s="12">
        <v>15.0</v>
      </c>
      <c r="D91" s="11" t="s">
        <v>51</v>
      </c>
      <c r="E91" s="12" t="s">
        <v>28</v>
      </c>
      <c r="F91" s="12">
        <v>81.0</v>
      </c>
      <c r="G91" s="11" t="s">
        <v>46</v>
      </c>
      <c r="H91" s="12" t="s">
        <v>117</v>
      </c>
      <c r="I91" s="12" t="s">
        <v>58</v>
      </c>
      <c r="J91" s="12">
        <f t="shared" ref="J91:J92" si="87">J90-M90</f>
        <v>6</v>
      </c>
      <c r="K91" s="12">
        <v>34.0</v>
      </c>
      <c r="L91" s="12">
        <v>34.0</v>
      </c>
      <c r="M91" s="12">
        <v>0.0</v>
      </c>
      <c r="N91" s="12" t="s">
        <v>64</v>
      </c>
      <c r="O91" s="12">
        <f t="shared" si="1"/>
        <v>6</v>
      </c>
      <c r="P91" s="14">
        <v>1.252392</v>
      </c>
      <c r="Q91" s="14">
        <v>0.437221</v>
      </c>
      <c r="R91" s="14">
        <v>-0.81517</v>
      </c>
      <c r="S91" s="12" t="s">
        <v>27</v>
      </c>
      <c r="T91" s="12" t="s">
        <v>27</v>
      </c>
      <c r="U91" s="12" t="s">
        <v>27</v>
      </c>
      <c r="V91" s="12" t="str">
        <f>D91 &amp; H91 &amp; " intencionado para " &amp; G91</f>
        <v>Fernando Sarabia Pase incompleto intencionado para Fernando Tonda</v>
      </c>
      <c r="W91" s="10">
        <f t="shared" ref="W91:X91" si="86">W90</f>
        <v>10</v>
      </c>
      <c r="X91" s="10">
        <f t="shared" si="86"/>
        <v>19</v>
      </c>
      <c r="Y91" s="12"/>
      <c r="Z91" s="12"/>
      <c r="AA91" s="12"/>
      <c r="AB91" s="12"/>
      <c r="AC91" s="12"/>
      <c r="AD91" s="12"/>
    </row>
    <row r="92" ht="14.25" customHeight="1">
      <c r="A92" s="11">
        <v>3.0</v>
      </c>
      <c r="B92" s="12" t="s">
        <v>28</v>
      </c>
      <c r="C92" s="12">
        <v>15.0</v>
      </c>
      <c r="D92" s="11" t="s">
        <v>51</v>
      </c>
      <c r="E92" s="12" t="s">
        <v>28</v>
      </c>
      <c r="F92" s="12">
        <v>17.0</v>
      </c>
      <c r="G92" s="12" t="s">
        <v>144</v>
      </c>
      <c r="H92" s="12" t="s">
        <v>53</v>
      </c>
      <c r="I92" s="12" t="s">
        <v>69</v>
      </c>
      <c r="J92" s="12">
        <f t="shared" si="87"/>
        <v>6</v>
      </c>
      <c r="K92" s="12">
        <v>34.0</v>
      </c>
      <c r="L92" s="12">
        <v>0.0</v>
      </c>
      <c r="M92" s="12">
        <v>66.0</v>
      </c>
      <c r="N92" s="12" t="s">
        <v>40</v>
      </c>
      <c r="O92" s="12" t="str">
        <f t="shared" si="1"/>
        <v/>
      </c>
      <c r="P92" s="14">
        <v>0.437221</v>
      </c>
      <c r="Q92" s="14">
        <v>7.0</v>
      </c>
      <c r="R92" s="14">
        <v>6.562779</v>
      </c>
      <c r="S92" s="12" t="s">
        <v>27</v>
      </c>
      <c r="T92" s="12" t="s">
        <v>27</v>
      </c>
      <c r="U92" s="12" t="s">
        <v>27</v>
      </c>
      <c r="V92" s="12" t="str">
        <f>D92 &amp; H92 &amp; " completo para " &amp;G92 &amp; "para " &amp; M92 &amp; " yardas" </f>
        <v>Fernando Sarabia Pase completo para Alejandro Elizondo Gonzálezpara 66 yardas</v>
      </c>
      <c r="W92" s="10">
        <v>16.0</v>
      </c>
      <c r="X92" s="10">
        <f t="shared" ref="X92:X93" si="88">X91</f>
        <v>19</v>
      </c>
      <c r="Y92" s="12"/>
      <c r="Z92" s="12"/>
      <c r="AA92" s="12"/>
      <c r="AB92" s="12"/>
      <c r="AC92" s="12"/>
      <c r="AD92" s="12"/>
    </row>
    <row r="93" ht="14.25" customHeight="1">
      <c r="A93" s="11">
        <v>3.0</v>
      </c>
      <c r="B93" s="12" t="s">
        <v>28</v>
      </c>
      <c r="C93" s="12">
        <v>15.0</v>
      </c>
      <c r="D93" s="11" t="s">
        <v>51</v>
      </c>
      <c r="E93" s="12" t="s">
        <v>28</v>
      </c>
      <c r="F93" s="12">
        <v>28.0</v>
      </c>
      <c r="G93" s="11" t="s">
        <v>29</v>
      </c>
      <c r="H93" s="12" t="s">
        <v>43</v>
      </c>
      <c r="I93" s="12" t="s">
        <v>27</v>
      </c>
      <c r="J93" s="12"/>
      <c r="K93" s="12">
        <v>-10.0</v>
      </c>
      <c r="L93" s="12">
        <v>0.0</v>
      </c>
      <c r="M93" s="12">
        <v>20.0</v>
      </c>
      <c r="N93" s="12" t="s">
        <v>146</v>
      </c>
      <c r="O93" s="12" t="str">
        <f t="shared" si="1"/>
        <v/>
      </c>
      <c r="P93" s="15"/>
      <c r="Q93" s="15"/>
      <c r="R93" s="14">
        <v>0.0</v>
      </c>
      <c r="S93" s="12" t="s">
        <v>27</v>
      </c>
      <c r="T93" s="12" t="s">
        <v>27</v>
      </c>
      <c r="U93" s="12" t="s">
        <v>27</v>
      </c>
      <c r="V93" s="12" t="str">
        <f>G93 &amp; " " &amp; N93</f>
        <v>Roberto Medina PAT exitosa</v>
      </c>
      <c r="W93" s="10">
        <v>17.0</v>
      </c>
      <c r="X93" s="10">
        <f t="shared" si="88"/>
        <v>19</v>
      </c>
      <c r="Y93" s="12"/>
      <c r="Z93" s="12"/>
      <c r="AA93" s="12"/>
      <c r="AB93" s="12"/>
      <c r="AC93" s="12"/>
      <c r="AD93" s="12"/>
    </row>
    <row r="94" ht="14.25" customHeight="1">
      <c r="A94" s="11">
        <v>3.0</v>
      </c>
      <c r="B94" s="12" t="s">
        <v>28</v>
      </c>
      <c r="C94" s="12" t="s">
        <v>27</v>
      </c>
      <c r="D94" s="12" t="s">
        <v>27</v>
      </c>
      <c r="E94" s="12" t="s">
        <v>28</v>
      </c>
      <c r="F94" s="12" t="s">
        <v>27</v>
      </c>
      <c r="G94" s="12" t="s">
        <v>27</v>
      </c>
      <c r="H94" s="12" t="s">
        <v>106</v>
      </c>
      <c r="I94" s="12" t="s">
        <v>27</v>
      </c>
      <c r="J94" s="12"/>
      <c r="K94" s="12">
        <v>35.0</v>
      </c>
      <c r="L94" s="12">
        <v>20.0</v>
      </c>
      <c r="M94" s="12">
        <v>-15.0</v>
      </c>
      <c r="N94" s="12" t="s">
        <v>184</v>
      </c>
      <c r="O94" s="12" t="str">
        <f t="shared" si="1"/>
        <v/>
      </c>
      <c r="P94" s="15"/>
      <c r="Q94" s="15"/>
      <c r="R94" s="14">
        <v>0.0</v>
      </c>
      <c r="S94" s="12" t="s">
        <v>27</v>
      </c>
      <c r="T94" s="12" t="s">
        <v>27</v>
      </c>
      <c r="U94" s="12" t="s">
        <v>27</v>
      </c>
      <c r="V94" s="12" t="str">
        <f>H94 &amp; ", " &amp; M94 &amp; " yardas"</f>
        <v>Castigo a la ofensiva, -15 yardas</v>
      </c>
      <c r="W94" s="10">
        <f t="shared" ref="W94:X94" si="89">W93</f>
        <v>17</v>
      </c>
      <c r="X94" s="10">
        <f t="shared" si="89"/>
        <v>19</v>
      </c>
      <c r="Y94" s="12"/>
      <c r="Z94" s="12"/>
      <c r="AA94" s="12"/>
      <c r="AB94" s="12"/>
      <c r="AC94" s="12"/>
      <c r="AD94" s="12"/>
    </row>
    <row r="95" ht="14.25" customHeight="1">
      <c r="A95" s="11">
        <v>3.0</v>
      </c>
      <c r="B95" s="12" t="s">
        <v>28</v>
      </c>
      <c r="C95" s="12" t="s">
        <v>27</v>
      </c>
      <c r="D95" s="12" t="s">
        <v>27</v>
      </c>
      <c r="E95" s="12" t="s">
        <v>28</v>
      </c>
      <c r="F95" s="12">
        <v>28.0</v>
      </c>
      <c r="G95" s="11" t="s">
        <v>29</v>
      </c>
      <c r="H95" s="12" t="s">
        <v>31</v>
      </c>
      <c r="I95" s="12" t="s">
        <v>27</v>
      </c>
      <c r="J95" s="12"/>
      <c r="K95" s="12">
        <v>20.0</v>
      </c>
      <c r="L95" s="12">
        <v>-16.0</v>
      </c>
      <c r="M95" s="12">
        <v>64.0</v>
      </c>
      <c r="N95" s="12" t="s">
        <v>167</v>
      </c>
      <c r="O95" s="12" t="str">
        <f t="shared" si="1"/>
        <v/>
      </c>
      <c r="P95" s="15"/>
      <c r="Q95" s="15"/>
      <c r="R95" s="14">
        <v>0.0</v>
      </c>
      <c r="S95" s="12" t="s">
        <v>27</v>
      </c>
      <c r="T95" s="12" t="s">
        <v>27</v>
      </c>
      <c r="U95" s="12" t="s">
        <v>27</v>
      </c>
      <c r="V95" s="12" t="str">
        <f>G95 &amp; " kicks off " &amp; M95 &amp; " yardas, " &amp; N95 &amp; " por " &amp; G96 &amp; " para " &amp; M96 &amp; " yardas"</f>
        <v>Roberto Medina kicks off 64 yardas, Regreso por Aldo Herrera  para 28 yardas</v>
      </c>
      <c r="W95" s="10">
        <f t="shared" ref="W95:X95" si="90">W94</f>
        <v>17</v>
      </c>
      <c r="X95" s="10">
        <f t="shared" si="90"/>
        <v>19</v>
      </c>
      <c r="Y95" s="12"/>
      <c r="Z95" s="12"/>
      <c r="AA95" s="12"/>
      <c r="AB95" s="12"/>
      <c r="AC95" s="12"/>
      <c r="AD95" s="12"/>
    </row>
    <row r="96" ht="14.25" customHeight="1">
      <c r="A96" s="11">
        <v>3.0</v>
      </c>
      <c r="B96" s="12" t="s">
        <v>26</v>
      </c>
      <c r="C96" s="12" t="s">
        <v>27</v>
      </c>
      <c r="D96" s="12" t="s">
        <v>27</v>
      </c>
      <c r="E96" s="12" t="s">
        <v>26</v>
      </c>
      <c r="F96" s="12">
        <v>3.0</v>
      </c>
      <c r="G96" s="11" t="s">
        <v>128</v>
      </c>
      <c r="H96" s="12" t="s">
        <v>47</v>
      </c>
      <c r="I96" s="12" t="s">
        <v>27</v>
      </c>
      <c r="J96" s="12"/>
      <c r="K96" s="12">
        <v>16.0</v>
      </c>
      <c r="L96" s="12">
        <v>44.0</v>
      </c>
      <c r="M96" s="12">
        <v>28.0</v>
      </c>
      <c r="N96" s="12" t="s">
        <v>48</v>
      </c>
      <c r="O96" s="12">
        <f t="shared" si="1"/>
        <v>10</v>
      </c>
      <c r="P96" s="13">
        <v>0.0</v>
      </c>
      <c r="Q96" s="14">
        <v>2.325935</v>
      </c>
      <c r="R96" s="14">
        <f>Q96-P96</f>
        <v>2.325935</v>
      </c>
      <c r="S96" s="12">
        <v>85.0</v>
      </c>
      <c r="T96" s="12" t="s">
        <v>28</v>
      </c>
      <c r="U96" s="12" t="s">
        <v>185</v>
      </c>
      <c r="V96" s="12" t="s">
        <v>186</v>
      </c>
      <c r="W96" s="10">
        <f t="shared" ref="W96:X96" si="91">W95</f>
        <v>17</v>
      </c>
      <c r="X96" s="10">
        <f t="shared" si="91"/>
        <v>19</v>
      </c>
      <c r="Y96" s="12"/>
      <c r="Z96" s="12"/>
      <c r="AA96" s="12"/>
      <c r="AB96" s="12"/>
      <c r="AC96" s="12"/>
      <c r="AD96" s="12"/>
    </row>
    <row r="97" ht="14.25" customHeight="1">
      <c r="A97" s="11">
        <v>3.0</v>
      </c>
      <c r="B97" s="12" t="s">
        <v>26</v>
      </c>
      <c r="C97" s="12">
        <v>10.0</v>
      </c>
      <c r="D97" s="11" t="s">
        <v>34</v>
      </c>
      <c r="E97" s="12" t="s">
        <v>26</v>
      </c>
      <c r="F97" s="12" t="s">
        <v>27</v>
      </c>
      <c r="G97" s="12" t="s">
        <v>27</v>
      </c>
      <c r="H97" s="12" t="s">
        <v>117</v>
      </c>
      <c r="I97" s="12" t="s">
        <v>39</v>
      </c>
      <c r="J97" s="10">
        <v>10.0</v>
      </c>
      <c r="K97" s="12">
        <v>44.0</v>
      </c>
      <c r="L97" s="12">
        <v>44.0</v>
      </c>
      <c r="M97" s="12">
        <v>0.0</v>
      </c>
      <c r="N97" s="12" t="s">
        <v>54</v>
      </c>
      <c r="O97" s="12">
        <f t="shared" si="1"/>
        <v>10</v>
      </c>
      <c r="P97" s="14">
        <v>2.325935</v>
      </c>
      <c r="Q97" s="14">
        <v>1.75737</v>
      </c>
      <c r="R97" s="14">
        <v>-0.56857</v>
      </c>
      <c r="S97" s="12" t="s">
        <v>27</v>
      </c>
      <c r="T97" s="12" t="s">
        <v>27</v>
      </c>
      <c r="U97" s="12" t="s">
        <v>27</v>
      </c>
      <c r="V97" s="12" t="str">
        <f>D97 &amp; H97</f>
        <v>Sergio Resendiz Pase incompleto</v>
      </c>
      <c r="W97" s="10">
        <f t="shared" ref="W97:X97" si="92">W96</f>
        <v>17</v>
      </c>
      <c r="X97" s="10">
        <f t="shared" si="92"/>
        <v>19</v>
      </c>
      <c r="Y97" s="12"/>
      <c r="Z97" s="12"/>
      <c r="AA97" s="12"/>
      <c r="AB97" s="12"/>
      <c r="AC97" s="12"/>
      <c r="AD97" s="12"/>
    </row>
    <row r="98" ht="14.25" customHeight="1">
      <c r="A98" s="11">
        <v>3.0</v>
      </c>
      <c r="B98" s="12" t="s">
        <v>26</v>
      </c>
      <c r="C98" s="12">
        <v>10.0</v>
      </c>
      <c r="D98" s="11" t="s">
        <v>34</v>
      </c>
      <c r="E98" s="12" t="s">
        <v>26</v>
      </c>
      <c r="F98" s="12">
        <v>31.0</v>
      </c>
      <c r="G98" s="11" t="s">
        <v>35</v>
      </c>
      <c r="H98" s="12" t="s">
        <v>38</v>
      </c>
      <c r="I98" s="12" t="s">
        <v>58</v>
      </c>
      <c r="J98" s="12">
        <f t="shared" ref="J98:J99" si="94">J97-M97</f>
        <v>10</v>
      </c>
      <c r="K98" s="12">
        <v>44.0</v>
      </c>
      <c r="L98" s="12">
        <v>48.0</v>
      </c>
      <c r="M98" s="12">
        <v>4.0</v>
      </c>
      <c r="N98" s="12" t="s">
        <v>64</v>
      </c>
      <c r="O98" s="12">
        <f t="shared" si="1"/>
        <v>6</v>
      </c>
      <c r="P98" s="14">
        <v>1.75737</v>
      </c>
      <c r="Q98" s="14">
        <v>1.533445</v>
      </c>
      <c r="R98" s="14">
        <v>-0.22393</v>
      </c>
      <c r="S98" s="12">
        <v>55.0</v>
      </c>
      <c r="T98" s="12" t="s">
        <v>28</v>
      </c>
      <c r="U98" s="12" t="s">
        <v>78</v>
      </c>
      <c r="V98" s="12" t="str">
        <f>G98 &amp; "para " &amp; M98 &amp; " yardas, " &amp; N98</f>
        <v>Ángel Alvarado para 4 yardas, 3er down</v>
      </c>
      <c r="W98" s="10">
        <f t="shared" ref="W98:X98" si="93">W97</f>
        <v>17</v>
      </c>
      <c r="X98" s="10">
        <f t="shared" si="93"/>
        <v>19</v>
      </c>
      <c r="Y98" s="12"/>
      <c r="Z98" s="12"/>
      <c r="AA98" s="12"/>
      <c r="AB98" s="12"/>
      <c r="AC98" s="12"/>
      <c r="AD98" s="12"/>
    </row>
    <row r="99" ht="14.25" customHeight="1">
      <c r="A99" s="11">
        <v>3.0</v>
      </c>
      <c r="B99" s="12" t="s">
        <v>26</v>
      </c>
      <c r="C99" s="12" t="s">
        <v>27</v>
      </c>
      <c r="D99" s="12" t="s">
        <v>27</v>
      </c>
      <c r="E99" s="12" t="s">
        <v>28</v>
      </c>
      <c r="F99" s="12" t="s">
        <v>27</v>
      </c>
      <c r="G99" s="12" t="s">
        <v>27</v>
      </c>
      <c r="H99" s="12" t="s">
        <v>161</v>
      </c>
      <c r="I99" s="12" t="s">
        <v>69</v>
      </c>
      <c r="J99" s="12">
        <f t="shared" si="94"/>
        <v>6</v>
      </c>
      <c r="K99" s="12">
        <v>48.0</v>
      </c>
      <c r="L99" s="12">
        <v>-48.0</v>
      </c>
      <c r="M99" s="12">
        <v>4.0</v>
      </c>
      <c r="N99" s="12" t="s">
        <v>48</v>
      </c>
      <c r="O99" s="12">
        <f t="shared" si="1"/>
        <v>10</v>
      </c>
      <c r="P99" s="14">
        <v>1.533445</v>
      </c>
      <c r="Q99" s="14">
        <v>2.81553</v>
      </c>
      <c r="R99" s="14">
        <v>1.282085</v>
      </c>
      <c r="S99" s="12" t="s">
        <v>27</v>
      </c>
      <c r="T99" s="12" t="s">
        <v>27</v>
      </c>
      <c r="U99" s="12" t="s">
        <v>27</v>
      </c>
      <c r="V99" s="12" t="str">
        <f>H99 &amp; ", " &amp; M99 &amp; " yardas"</f>
        <v>Castigo a la defensiva, 4 yardas</v>
      </c>
      <c r="W99" s="10">
        <f t="shared" ref="W99:X99" si="95">W98</f>
        <v>17</v>
      </c>
      <c r="X99" s="10">
        <f t="shared" si="95"/>
        <v>19</v>
      </c>
      <c r="Y99" s="12"/>
      <c r="Z99" s="12"/>
      <c r="AA99" s="12"/>
      <c r="AB99" s="12"/>
      <c r="AC99" s="12"/>
      <c r="AD99" s="12"/>
    </row>
    <row r="100" ht="14.25" customHeight="1">
      <c r="A100" s="11">
        <v>3.0</v>
      </c>
      <c r="B100" s="12" t="s">
        <v>26</v>
      </c>
      <c r="C100" s="12">
        <v>10.0</v>
      </c>
      <c r="D100" s="11" t="s">
        <v>34</v>
      </c>
      <c r="E100" s="12" t="s">
        <v>26</v>
      </c>
      <c r="F100" s="12">
        <v>21.0</v>
      </c>
      <c r="G100" s="12" t="s">
        <v>77</v>
      </c>
      <c r="H100" s="12" t="s">
        <v>38</v>
      </c>
      <c r="I100" s="12" t="s">
        <v>39</v>
      </c>
      <c r="J100" s="10">
        <v>10.0</v>
      </c>
      <c r="K100" s="12">
        <v>-48.0</v>
      </c>
      <c r="L100" s="12">
        <v>-45.0</v>
      </c>
      <c r="M100" s="12">
        <v>3.0</v>
      </c>
      <c r="N100" s="12" t="s">
        <v>54</v>
      </c>
      <c r="O100" s="12">
        <f t="shared" si="1"/>
        <v>7</v>
      </c>
      <c r="P100" s="14">
        <v>2.81553</v>
      </c>
      <c r="Q100" s="14">
        <v>2.680391</v>
      </c>
      <c r="R100" s="14">
        <v>-0.13514</v>
      </c>
      <c r="S100" s="12">
        <v>9.0</v>
      </c>
      <c r="T100" s="12" t="s">
        <v>28</v>
      </c>
      <c r="U100" s="12" t="s">
        <v>190</v>
      </c>
      <c r="V100" s="12" t="str">
        <f t="shared" ref="V100:V103" si="97">G100 &amp; "para " &amp; M100 &amp; " yardas, " &amp; N100</f>
        <v>Eduardo Martínez Alvaradopara 3 yardas, 2do down</v>
      </c>
      <c r="W100" s="10">
        <f t="shared" ref="W100:X100" si="96">W99</f>
        <v>17</v>
      </c>
      <c r="X100" s="10">
        <f t="shared" si="96"/>
        <v>19</v>
      </c>
      <c r="Y100" s="12"/>
      <c r="Z100" s="12"/>
      <c r="AA100" s="12"/>
      <c r="AB100" s="12"/>
      <c r="AC100" s="12"/>
      <c r="AD100" s="12"/>
    </row>
    <row r="101" ht="14.25" customHeight="1">
      <c r="A101" s="11">
        <v>3.0</v>
      </c>
      <c r="B101" s="12" t="s">
        <v>26</v>
      </c>
      <c r="C101" s="12">
        <v>10.0</v>
      </c>
      <c r="D101" s="11" t="s">
        <v>34</v>
      </c>
      <c r="E101" s="12" t="s">
        <v>26</v>
      </c>
      <c r="F101" s="12">
        <v>21.0</v>
      </c>
      <c r="G101" s="12" t="s">
        <v>77</v>
      </c>
      <c r="H101" s="12" t="s">
        <v>38</v>
      </c>
      <c r="I101" s="12" t="s">
        <v>58</v>
      </c>
      <c r="J101" s="12">
        <f t="shared" ref="J101:J103" si="99">J100-M100</f>
        <v>7</v>
      </c>
      <c r="K101" s="12">
        <v>-45.0</v>
      </c>
      <c r="L101" s="12">
        <v>-41.0</v>
      </c>
      <c r="M101" s="12">
        <v>4.0</v>
      </c>
      <c r="N101" s="12" t="s">
        <v>64</v>
      </c>
      <c r="O101" s="12">
        <f t="shared" si="1"/>
        <v>3</v>
      </c>
      <c r="P101" s="14">
        <v>2.680391</v>
      </c>
      <c r="Q101" s="14">
        <v>2.56439</v>
      </c>
      <c r="R101" s="14">
        <v>-0.116</v>
      </c>
      <c r="S101" s="12">
        <v>2.0</v>
      </c>
      <c r="T101" s="12" t="s">
        <v>28</v>
      </c>
      <c r="U101" s="12" t="s">
        <v>86</v>
      </c>
      <c r="V101" s="12" t="str">
        <f t="shared" si="97"/>
        <v>Eduardo Martínez Alvaradopara 4 yardas, 3er down</v>
      </c>
      <c r="W101" s="10">
        <f t="shared" ref="W101:X101" si="98">W100</f>
        <v>17</v>
      </c>
      <c r="X101" s="10">
        <f t="shared" si="98"/>
        <v>19</v>
      </c>
      <c r="Y101" s="12"/>
      <c r="Z101" s="12"/>
      <c r="AA101" s="12"/>
      <c r="AB101" s="12"/>
      <c r="AC101" s="12"/>
      <c r="AD101" s="12"/>
    </row>
    <row r="102" ht="14.25" customHeight="1">
      <c r="A102" s="11">
        <v>3.0</v>
      </c>
      <c r="B102" s="12" t="s">
        <v>26</v>
      </c>
      <c r="C102" s="12">
        <v>10.0</v>
      </c>
      <c r="D102" s="11" t="s">
        <v>34</v>
      </c>
      <c r="E102" s="12" t="s">
        <v>26</v>
      </c>
      <c r="F102" s="12">
        <v>10.0</v>
      </c>
      <c r="G102" s="11" t="s">
        <v>34</v>
      </c>
      <c r="H102" s="12" t="s">
        <v>38</v>
      </c>
      <c r="I102" s="12" t="s">
        <v>69</v>
      </c>
      <c r="J102" s="12">
        <f t="shared" si="99"/>
        <v>3</v>
      </c>
      <c r="K102" s="12">
        <v>-41.0</v>
      </c>
      <c r="L102" s="12">
        <v>-40.0</v>
      </c>
      <c r="M102" s="12">
        <v>1.0</v>
      </c>
      <c r="N102" s="12" t="s">
        <v>70</v>
      </c>
      <c r="O102" s="12">
        <f t="shared" si="1"/>
        <v>2</v>
      </c>
      <c r="P102" s="14">
        <v>2.56439</v>
      </c>
      <c r="Q102" s="14">
        <v>1.122841</v>
      </c>
      <c r="R102" s="14">
        <v>-1.44155</v>
      </c>
      <c r="S102" s="12">
        <v>55.0</v>
      </c>
      <c r="T102" s="12" t="s">
        <v>28</v>
      </c>
      <c r="U102" s="12" t="s">
        <v>78</v>
      </c>
      <c r="V102" s="12" t="str">
        <f t="shared" si="97"/>
        <v>Sergio Resendiz para 1 yardas, 4to down</v>
      </c>
      <c r="W102" s="10">
        <f t="shared" ref="W102:X102" si="100">W101</f>
        <v>17</v>
      </c>
      <c r="X102" s="10">
        <f t="shared" si="100"/>
        <v>19</v>
      </c>
      <c r="Y102" s="12"/>
      <c r="Z102" s="12"/>
      <c r="AA102" s="12"/>
      <c r="AB102" s="12"/>
      <c r="AC102" s="12"/>
      <c r="AD102" s="12"/>
    </row>
    <row r="103" ht="14.25" customHeight="1">
      <c r="A103" s="11">
        <v>3.0</v>
      </c>
      <c r="B103" s="12" t="s">
        <v>26</v>
      </c>
      <c r="C103" s="12">
        <v>10.0</v>
      </c>
      <c r="D103" s="11" t="s">
        <v>34</v>
      </c>
      <c r="E103" s="12" t="s">
        <v>26</v>
      </c>
      <c r="F103" s="12">
        <v>31.0</v>
      </c>
      <c r="G103" s="11" t="s">
        <v>35</v>
      </c>
      <c r="H103" s="12" t="s">
        <v>38</v>
      </c>
      <c r="I103" s="12" t="s">
        <v>74</v>
      </c>
      <c r="J103" s="12">
        <f t="shared" si="99"/>
        <v>2</v>
      </c>
      <c r="K103" s="12">
        <v>-40.0</v>
      </c>
      <c r="L103" s="12">
        <v>-40.0</v>
      </c>
      <c r="M103" s="12">
        <v>0.0</v>
      </c>
      <c r="N103" s="12" t="s">
        <v>194</v>
      </c>
      <c r="O103" s="12">
        <f t="shared" si="1"/>
        <v>10</v>
      </c>
      <c r="P103" s="14">
        <v>1.122841</v>
      </c>
      <c r="Q103" s="13">
        <v>-2.05</v>
      </c>
      <c r="R103" s="14">
        <f>Q103-P103</f>
        <v>-3.172841</v>
      </c>
      <c r="S103" s="12">
        <v>72.0</v>
      </c>
      <c r="T103" s="12" t="s">
        <v>28</v>
      </c>
      <c r="U103" s="12" t="s">
        <v>83</v>
      </c>
      <c r="V103" s="12" t="str">
        <f t="shared" si="97"/>
        <v>Ángel Alvarado para 0 yardas, Cambio posesión</v>
      </c>
      <c r="W103" s="10">
        <f t="shared" ref="W103:X103" si="101">W102</f>
        <v>17</v>
      </c>
      <c r="X103" s="10">
        <f t="shared" si="101"/>
        <v>19</v>
      </c>
      <c r="Y103" s="12"/>
      <c r="Z103" s="12"/>
      <c r="AA103" s="12"/>
      <c r="AB103" s="12"/>
      <c r="AC103" s="12"/>
      <c r="AD103" s="12"/>
    </row>
    <row r="104" ht="14.25" customHeight="1">
      <c r="A104" s="11">
        <v>3.0</v>
      </c>
      <c r="B104" s="12" t="s">
        <v>28</v>
      </c>
      <c r="C104" s="12">
        <v>15.0</v>
      </c>
      <c r="D104" s="11" t="s">
        <v>51</v>
      </c>
      <c r="E104" s="12" t="s">
        <v>28</v>
      </c>
      <c r="F104" s="12">
        <v>17.0</v>
      </c>
      <c r="G104" s="12" t="s">
        <v>144</v>
      </c>
      <c r="H104" s="12" t="s">
        <v>117</v>
      </c>
      <c r="I104" s="12" t="s">
        <v>39</v>
      </c>
      <c r="J104" s="10">
        <v>10.0</v>
      </c>
      <c r="K104" s="12">
        <v>40.0</v>
      </c>
      <c r="L104" s="12">
        <v>40.0</v>
      </c>
      <c r="M104" s="12">
        <v>0.0</v>
      </c>
      <c r="N104" s="12" t="s">
        <v>54</v>
      </c>
      <c r="O104" s="12">
        <f t="shared" si="1"/>
        <v>10</v>
      </c>
      <c r="P104" s="14">
        <v>2.051391</v>
      </c>
      <c r="Q104" s="14">
        <v>1.459293</v>
      </c>
      <c r="R104" s="14">
        <v>-0.5921</v>
      </c>
      <c r="S104" s="12" t="s">
        <v>27</v>
      </c>
      <c r="T104" s="12" t="s">
        <v>27</v>
      </c>
      <c r="U104" s="12" t="s">
        <v>27</v>
      </c>
      <c r="V104" s="12" t="str">
        <f>D104 &amp; H104 &amp; " intencionado para " &amp; G104</f>
        <v>Fernando Sarabia Pase incompleto intencionado para Alejandro Elizondo González</v>
      </c>
      <c r="W104" s="10">
        <f t="shared" ref="W104:X104" si="102">W103</f>
        <v>17</v>
      </c>
      <c r="X104" s="10">
        <f t="shared" si="102"/>
        <v>19</v>
      </c>
      <c r="Y104" s="12"/>
      <c r="Z104" s="12"/>
      <c r="AA104" s="12"/>
      <c r="AB104" s="12"/>
      <c r="AC104" s="12"/>
      <c r="AD104" s="12"/>
    </row>
    <row r="105" ht="14.25" customHeight="1">
      <c r="A105" s="11">
        <v>3.0</v>
      </c>
      <c r="B105" s="12" t="s">
        <v>28</v>
      </c>
      <c r="C105" s="12">
        <v>15.0</v>
      </c>
      <c r="D105" s="11" t="s">
        <v>51</v>
      </c>
      <c r="E105" s="12" t="s">
        <v>28</v>
      </c>
      <c r="F105" s="12">
        <v>23.0</v>
      </c>
      <c r="G105" s="11" t="s">
        <v>61</v>
      </c>
      <c r="H105" s="12" t="s">
        <v>38</v>
      </c>
      <c r="I105" s="12" t="s">
        <v>58</v>
      </c>
      <c r="J105" s="12">
        <f t="shared" ref="J105:J107" si="104">J104-M104</f>
        <v>10</v>
      </c>
      <c r="K105" s="12">
        <v>40.0</v>
      </c>
      <c r="L105" s="12">
        <v>44.0</v>
      </c>
      <c r="M105" s="12">
        <v>4.0</v>
      </c>
      <c r="N105" s="12" t="s">
        <v>64</v>
      </c>
      <c r="O105" s="12">
        <f t="shared" si="1"/>
        <v>6</v>
      </c>
      <c r="P105" s="14">
        <v>1.459293</v>
      </c>
      <c r="Q105" s="14">
        <v>1.236568</v>
      </c>
      <c r="R105" s="14">
        <v>-0.22273</v>
      </c>
      <c r="S105" s="12">
        <v>2.0</v>
      </c>
      <c r="T105" s="12" t="s">
        <v>26</v>
      </c>
      <c r="U105" s="12" t="s">
        <v>62</v>
      </c>
      <c r="V105" s="12" t="str">
        <f>G105 &amp; "para " &amp; M105 &amp; " yardas, " &amp; N105</f>
        <v>Alejandro Cruz para 4 yardas, 3er down</v>
      </c>
      <c r="W105" s="10">
        <f t="shared" ref="W105:X105" si="103">W104</f>
        <v>17</v>
      </c>
      <c r="X105" s="10">
        <f t="shared" si="103"/>
        <v>19</v>
      </c>
      <c r="Y105" s="12"/>
      <c r="Z105" s="12"/>
      <c r="AA105" s="12"/>
      <c r="AB105" s="12"/>
      <c r="AC105" s="12"/>
      <c r="AD105" s="12"/>
    </row>
    <row r="106" ht="14.25" customHeight="1">
      <c r="A106" s="11">
        <v>3.0</v>
      </c>
      <c r="B106" s="12" t="s">
        <v>28</v>
      </c>
      <c r="C106" s="12">
        <v>15.0</v>
      </c>
      <c r="D106" s="11" t="s">
        <v>51</v>
      </c>
      <c r="E106" s="12" t="s">
        <v>28</v>
      </c>
      <c r="F106" s="12">
        <v>82.0</v>
      </c>
      <c r="G106" s="11" t="s">
        <v>102</v>
      </c>
      <c r="H106" s="12" t="s">
        <v>117</v>
      </c>
      <c r="I106" s="12" t="s">
        <v>69</v>
      </c>
      <c r="J106" s="12">
        <f t="shared" si="104"/>
        <v>6</v>
      </c>
      <c r="K106" s="12">
        <v>44.0</v>
      </c>
      <c r="L106" s="12">
        <v>44.0</v>
      </c>
      <c r="M106" s="12">
        <v>0.0</v>
      </c>
      <c r="N106" s="12" t="s">
        <v>70</v>
      </c>
      <c r="O106" s="12">
        <f t="shared" si="1"/>
        <v>6</v>
      </c>
      <c r="P106" s="14">
        <v>1.236568</v>
      </c>
      <c r="Q106" s="14">
        <v>-0.22943</v>
      </c>
      <c r="R106" s="14">
        <v>-1.466</v>
      </c>
      <c r="S106" s="12" t="s">
        <v>27</v>
      </c>
      <c r="T106" s="12" t="s">
        <v>27</v>
      </c>
      <c r="U106" s="12" t="s">
        <v>27</v>
      </c>
      <c r="V106" s="12" t="str">
        <f>D106 &amp; H106 &amp; " intencionado para " &amp; G106</f>
        <v>Fernando Sarabia Pase incompleto intencionado para Mauricio Santos </v>
      </c>
      <c r="W106" s="10">
        <f t="shared" ref="W106:X106" si="105">W105</f>
        <v>17</v>
      </c>
      <c r="X106" s="10">
        <f t="shared" si="105"/>
        <v>19</v>
      </c>
      <c r="Y106" s="12"/>
      <c r="Z106" s="12"/>
      <c r="AA106" s="12"/>
      <c r="AB106" s="12"/>
      <c r="AC106" s="12"/>
      <c r="AD106" s="12"/>
    </row>
    <row r="107" ht="14.25" customHeight="1">
      <c r="A107" s="11">
        <v>3.0</v>
      </c>
      <c r="B107" s="12" t="s">
        <v>28</v>
      </c>
      <c r="C107" s="12" t="s">
        <v>27</v>
      </c>
      <c r="D107" s="12" t="s">
        <v>27</v>
      </c>
      <c r="E107" s="12" t="s">
        <v>28</v>
      </c>
      <c r="F107" s="12">
        <v>87.0</v>
      </c>
      <c r="G107" s="11" t="s">
        <v>199</v>
      </c>
      <c r="H107" s="12" t="s">
        <v>73</v>
      </c>
      <c r="I107" s="12" t="s">
        <v>74</v>
      </c>
      <c r="J107" s="12">
        <f t="shared" si="104"/>
        <v>6</v>
      </c>
      <c r="K107" s="12">
        <v>34.0</v>
      </c>
      <c r="L107" s="12">
        <v>-14.0</v>
      </c>
      <c r="M107" s="12">
        <v>52.0</v>
      </c>
      <c r="N107" s="12" t="s">
        <v>167</v>
      </c>
      <c r="O107" s="12" t="str">
        <f t="shared" si="1"/>
        <v/>
      </c>
      <c r="P107" s="14">
        <v>-0.22943</v>
      </c>
      <c r="Q107" s="14">
        <v>-2.387414</v>
      </c>
      <c r="R107" s="14">
        <f>Q107-P107</f>
        <v>-2.157984</v>
      </c>
      <c r="S107" s="12" t="s">
        <v>27</v>
      </c>
      <c r="T107" s="12" t="s">
        <v>27</v>
      </c>
      <c r="U107" s="12" t="s">
        <v>27</v>
      </c>
      <c r="V107" s="12" t="str">
        <f>G107 &amp; H107 &amp; " " &amp; M107 &amp; " yardas, " &amp; N107 &amp; " de " &amp; G108 &amp; " para " &amp; M108 &amp; " yardas"</f>
        <v>Mauricio Fernández Salazar Punt 52 yardas, Regreso de Aldo Herrera  para 31 yardas</v>
      </c>
      <c r="W107" s="10">
        <f t="shared" ref="W107:X107" si="106">W106</f>
        <v>17</v>
      </c>
      <c r="X107" s="10">
        <f t="shared" si="106"/>
        <v>19</v>
      </c>
      <c r="Y107" s="12"/>
      <c r="Z107" s="12"/>
      <c r="AA107" s="12"/>
      <c r="AB107" s="12"/>
      <c r="AC107" s="12"/>
      <c r="AD107" s="12"/>
    </row>
    <row r="108" ht="14.25" customHeight="1">
      <c r="A108" s="10">
        <v>3.0</v>
      </c>
      <c r="B108" s="12" t="s">
        <v>26</v>
      </c>
      <c r="C108" s="12" t="s">
        <v>27</v>
      </c>
      <c r="D108" s="12" t="s">
        <v>27</v>
      </c>
      <c r="E108" s="12" t="s">
        <v>26</v>
      </c>
      <c r="F108" s="12">
        <v>3.0</v>
      </c>
      <c r="G108" s="11" t="s">
        <v>128</v>
      </c>
      <c r="H108" s="12" t="s">
        <v>129</v>
      </c>
      <c r="I108" s="12" t="s">
        <v>27</v>
      </c>
      <c r="J108" s="12"/>
      <c r="K108" s="12">
        <v>14.0</v>
      </c>
      <c r="L108" s="12">
        <v>45.0</v>
      </c>
      <c r="M108" s="12">
        <v>31.0</v>
      </c>
      <c r="N108" s="12" t="s">
        <v>48</v>
      </c>
      <c r="O108" s="12">
        <f t="shared" si="1"/>
        <v>10</v>
      </c>
      <c r="P108" s="15"/>
      <c r="Q108" s="15"/>
      <c r="R108" s="14">
        <v>0.0</v>
      </c>
      <c r="S108" s="12">
        <v>26.0</v>
      </c>
      <c r="T108" s="12" t="s">
        <v>28</v>
      </c>
      <c r="U108" s="12" t="s">
        <v>27</v>
      </c>
      <c r="V108" s="12" t="s">
        <v>200</v>
      </c>
      <c r="W108" s="10">
        <f t="shared" ref="W108:X108" si="107">W107</f>
        <v>17</v>
      </c>
      <c r="X108" s="10">
        <f t="shared" si="107"/>
        <v>19</v>
      </c>
      <c r="Y108" s="12"/>
      <c r="Z108" s="12"/>
      <c r="AA108" s="12"/>
      <c r="AB108" s="12"/>
      <c r="AC108" s="12"/>
      <c r="AD108" s="12"/>
    </row>
    <row r="109" ht="14.25" customHeight="1">
      <c r="A109" s="11">
        <v>3.0</v>
      </c>
      <c r="B109" s="12" t="s">
        <v>26</v>
      </c>
      <c r="C109" s="12" t="s">
        <v>27</v>
      </c>
      <c r="D109" s="12" t="s">
        <v>27</v>
      </c>
      <c r="E109" s="12" t="s">
        <v>28</v>
      </c>
      <c r="F109" s="12" t="s">
        <v>27</v>
      </c>
      <c r="G109" s="12" t="s">
        <v>27</v>
      </c>
      <c r="H109" s="12" t="s">
        <v>161</v>
      </c>
      <c r="I109" s="12" t="s">
        <v>39</v>
      </c>
      <c r="J109" s="10">
        <v>10.0</v>
      </c>
      <c r="K109" s="12">
        <v>45.0</v>
      </c>
      <c r="L109" s="12">
        <v>-40.0</v>
      </c>
      <c r="M109" s="12">
        <v>15.0</v>
      </c>
      <c r="N109" s="12" t="s">
        <v>48</v>
      </c>
      <c r="O109" s="12">
        <f t="shared" si="1"/>
        <v>10</v>
      </c>
      <c r="P109" s="14">
        <v>2.387414</v>
      </c>
      <c r="Q109" s="14">
        <v>3.266093</v>
      </c>
      <c r="R109" s="14">
        <v>0.878679</v>
      </c>
      <c r="S109" s="12" t="s">
        <v>27</v>
      </c>
      <c r="T109" s="12" t="s">
        <v>27</v>
      </c>
      <c r="U109" s="12" t="s">
        <v>27</v>
      </c>
      <c r="V109" s="12" t="str">
        <f t="shared" ref="V109:V110" si="109">H109 &amp; ", " &amp; M109 &amp; " yardas"</f>
        <v>Castigo a la defensiva, 15 yardas</v>
      </c>
      <c r="W109" s="10">
        <f t="shared" ref="W109:X109" si="108">W108</f>
        <v>17</v>
      </c>
      <c r="X109" s="10">
        <f t="shared" si="108"/>
        <v>19</v>
      </c>
      <c r="Y109" s="12"/>
      <c r="Z109" s="12"/>
      <c r="AA109" s="12"/>
      <c r="AB109" s="12"/>
      <c r="AC109" s="12"/>
      <c r="AD109" s="12"/>
    </row>
    <row r="110" ht="14.25" customHeight="1">
      <c r="A110" s="11">
        <v>3.0</v>
      </c>
      <c r="B110" s="12" t="s">
        <v>26</v>
      </c>
      <c r="C110" s="12" t="s">
        <v>27</v>
      </c>
      <c r="D110" s="12" t="s">
        <v>27</v>
      </c>
      <c r="E110" s="12" t="s">
        <v>26</v>
      </c>
      <c r="F110" s="12" t="s">
        <v>27</v>
      </c>
      <c r="G110" s="12" t="s">
        <v>27</v>
      </c>
      <c r="H110" s="12" t="s">
        <v>106</v>
      </c>
      <c r="I110" s="12" t="s">
        <v>39</v>
      </c>
      <c r="J110" s="10">
        <v>10.0</v>
      </c>
      <c r="K110" s="12">
        <v>-40.0</v>
      </c>
      <c r="L110" s="12">
        <v>50.0</v>
      </c>
      <c r="M110" s="12">
        <v>-10.0</v>
      </c>
      <c r="N110" s="12" t="s">
        <v>48</v>
      </c>
      <c r="O110" s="12">
        <f t="shared" si="1"/>
        <v>20</v>
      </c>
      <c r="P110" s="14">
        <v>3.266093</v>
      </c>
      <c r="Q110" s="14">
        <v>2.505376</v>
      </c>
      <c r="R110" s="14">
        <v>-0.76072</v>
      </c>
      <c r="S110" s="12" t="s">
        <v>27</v>
      </c>
      <c r="T110" s="12" t="s">
        <v>27</v>
      </c>
      <c r="U110" s="12" t="s">
        <v>27</v>
      </c>
      <c r="V110" s="12" t="str">
        <f t="shared" si="109"/>
        <v>Castigo a la ofensiva, -10 yardas</v>
      </c>
      <c r="W110" s="10">
        <f t="shared" ref="W110:X110" si="110">W109</f>
        <v>17</v>
      </c>
      <c r="X110" s="10">
        <f t="shared" si="110"/>
        <v>19</v>
      </c>
      <c r="Y110" s="12"/>
      <c r="Z110" s="12"/>
      <c r="AA110" s="12"/>
      <c r="AB110" s="12"/>
      <c r="AC110" s="12"/>
      <c r="AD110" s="12"/>
    </row>
    <row r="111" ht="14.25" customHeight="1">
      <c r="A111" s="11">
        <v>3.0</v>
      </c>
      <c r="B111" s="12" t="s">
        <v>26</v>
      </c>
      <c r="C111" s="12">
        <v>10.0</v>
      </c>
      <c r="D111" s="11" t="s">
        <v>34</v>
      </c>
      <c r="E111" s="12" t="s">
        <v>26</v>
      </c>
      <c r="F111" s="12">
        <v>10.0</v>
      </c>
      <c r="G111" s="11" t="s">
        <v>34</v>
      </c>
      <c r="H111" s="12" t="s">
        <v>38</v>
      </c>
      <c r="I111" s="12" t="s">
        <v>39</v>
      </c>
      <c r="J111" s="10">
        <v>20.0</v>
      </c>
      <c r="K111" s="12">
        <v>50.0</v>
      </c>
      <c r="L111" s="12">
        <v>-36.0</v>
      </c>
      <c r="M111" s="12">
        <v>14.0</v>
      </c>
      <c r="N111" s="12" t="s">
        <v>54</v>
      </c>
      <c r="O111" s="12">
        <f t="shared" si="1"/>
        <v>6</v>
      </c>
      <c r="P111" s="14">
        <v>2.505376</v>
      </c>
      <c r="Q111" s="14">
        <v>3.204855</v>
      </c>
      <c r="R111" s="14">
        <v>0.69948</v>
      </c>
      <c r="S111" s="12" t="s">
        <v>27</v>
      </c>
      <c r="T111" s="12" t="s">
        <v>27</v>
      </c>
      <c r="U111" s="12" t="s">
        <v>27</v>
      </c>
      <c r="V111" s="12" t="str">
        <f>G111 &amp; "para " &amp; M111 &amp; " yardas, " &amp; N111</f>
        <v>Sergio Resendiz para 14 yardas, 2do down</v>
      </c>
      <c r="W111" s="10">
        <f t="shared" ref="W111:X111" si="111">W110</f>
        <v>17</v>
      </c>
      <c r="X111" s="10">
        <f t="shared" si="111"/>
        <v>19</v>
      </c>
      <c r="Y111" s="12"/>
      <c r="Z111" s="12"/>
      <c r="AA111" s="12"/>
      <c r="AB111" s="12"/>
      <c r="AC111" s="12"/>
      <c r="AD111" s="12"/>
    </row>
    <row r="112" ht="14.25" customHeight="1">
      <c r="A112" s="11">
        <v>3.0</v>
      </c>
      <c r="B112" s="12" t="s">
        <v>26</v>
      </c>
      <c r="C112" s="12">
        <v>10.0</v>
      </c>
      <c r="D112" s="11" t="s">
        <v>34</v>
      </c>
      <c r="E112" s="12" t="s">
        <v>26</v>
      </c>
      <c r="F112" s="12">
        <v>3.0</v>
      </c>
      <c r="G112" s="11" t="s">
        <v>128</v>
      </c>
      <c r="H112" s="12" t="s">
        <v>117</v>
      </c>
      <c r="I112" s="12" t="s">
        <v>58</v>
      </c>
      <c r="J112" s="12">
        <f t="shared" ref="J112:J113" si="113">J111-M111</f>
        <v>6</v>
      </c>
      <c r="K112" s="12">
        <v>-36.0</v>
      </c>
      <c r="L112" s="12">
        <v>-36.0</v>
      </c>
      <c r="M112" s="12">
        <v>0.0</v>
      </c>
      <c r="N112" s="12" t="s">
        <v>64</v>
      </c>
      <c r="O112" s="12">
        <f t="shared" si="1"/>
        <v>6</v>
      </c>
      <c r="P112" s="14">
        <v>3.204855</v>
      </c>
      <c r="Q112" s="14">
        <v>2.552942</v>
      </c>
      <c r="R112" s="14">
        <v>-0.65191</v>
      </c>
      <c r="S112" s="12" t="s">
        <v>27</v>
      </c>
      <c r="T112" s="12" t="s">
        <v>27</v>
      </c>
      <c r="U112" s="12" t="s">
        <v>27</v>
      </c>
      <c r="V112" s="12" t="str">
        <f>D112 &amp; H112 &amp; " intencionado para " &amp; G112</f>
        <v>Sergio Resendiz Pase incompleto intencionado para Aldo Herrera </v>
      </c>
      <c r="W112" s="10">
        <f t="shared" ref="W112:X112" si="112">W111</f>
        <v>17</v>
      </c>
      <c r="X112" s="10">
        <f t="shared" si="112"/>
        <v>19</v>
      </c>
      <c r="Y112" s="12"/>
      <c r="Z112" s="12"/>
      <c r="AA112" s="12"/>
      <c r="AB112" s="12"/>
      <c r="AC112" s="12"/>
      <c r="AD112" s="12"/>
    </row>
    <row r="113" ht="14.25" customHeight="1">
      <c r="A113" s="11">
        <v>3.0</v>
      </c>
      <c r="B113" s="12" t="s">
        <v>26</v>
      </c>
      <c r="C113" s="12">
        <v>10.0</v>
      </c>
      <c r="D113" s="11" t="s">
        <v>34</v>
      </c>
      <c r="E113" s="12" t="s">
        <v>26</v>
      </c>
      <c r="F113" s="12">
        <v>10.0</v>
      </c>
      <c r="G113" s="11" t="s">
        <v>34</v>
      </c>
      <c r="H113" s="12" t="s">
        <v>38</v>
      </c>
      <c r="I113" s="12" t="s">
        <v>69</v>
      </c>
      <c r="J113" s="12">
        <f t="shared" si="113"/>
        <v>6</v>
      </c>
      <c r="K113" s="12">
        <v>-36.0</v>
      </c>
      <c r="L113" s="12">
        <v>-28.0</v>
      </c>
      <c r="M113" s="12">
        <v>8.0</v>
      </c>
      <c r="N113" s="12" t="s">
        <v>48</v>
      </c>
      <c r="O113" s="12">
        <f t="shared" si="1"/>
        <v>10</v>
      </c>
      <c r="P113" s="14">
        <v>2.552942</v>
      </c>
      <c r="Q113" s="14">
        <v>3.792443</v>
      </c>
      <c r="R113" s="14">
        <v>1.239502</v>
      </c>
      <c r="S113" s="12">
        <v>10.0</v>
      </c>
      <c r="T113" s="12" t="s">
        <v>28</v>
      </c>
      <c r="U113" s="12" t="s">
        <v>114</v>
      </c>
      <c r="V113" s="12" t="str">
        <f t="shared" ref="V113:V117" si="115">G113 &amp; "para " &amp; M113 &amp; " yardas, " &amp; N113</f>
        <v>Sergio Resendiz para 8 yardas, 1er down</v>
      </c>
      <c r="W113" s="10">
        <f t="shared" ref="W113:X113" si="114">W112</f>
        <v>17</v>
      </c>
      <c r="X113" s="10">
        <f t="shared" si="114"/>
        <v>19</v>
      </c>
      <c r="Y113" s="12"/>
      <c r="Z113" s="12"/>
      <c r="AA113" s="12"/>
      <c r="AB113" s="12"/>
      <c r="AC113" s="12"/>
      <c r="AD113" s="12"/>
    </row>
    <row r="114" ht="14.25" customHeight="1">
      <c r="A114" s="11">
        <v>3.0</v>
      </c>
      <c r="B114" s="12" t="s">
        <v>26</v>
      </c>
      <c r="C114" s="12">
        <v>10.0</v>
      </c>
      <c r="D114" s="11" t="s">
        <v>34</v>
      </c>
      <c r="E114" s="12" t="s">
        <v>26</v>
      </c>
      <c r="F114" s="12">
        <v>31.0</v>
      </c>
      <c r="G114" s="11" t="s">
        <v>35</v>
      </c>
      <c r="H114" s="12" t="s">
        <v>38</v>
      </c>
      <c r="I114" s="12" t="s">
        <v>39</v>
      </c>
      <c r="J114" s="10">
        <v>10.0</v>
      </c>
      <c r="K114" s="12">
        <v>-28.0</v>
      </c>
      <c r="L114" s="12">
        <v>-26.0</v>
      </c>
      <c r="M114" s="12">
        <v>2.0</v>
      </c>
      <c r="N114" s="12" t="s">
        <v>54</v>
      </c>
      <c r="O114" s="12">
        <f t="shared" si="1"/>
        <v>8</v>
      </c>
      <c r="P114" s="14">
        <v>3.792443</v>
      </c>
      <c r="Q114" s="14">
        <v>3.595042</v>
      </c>
      <c r="R114" s="14">
        <v>-0.1974</v>
      </c>
      <c r="S114" s="12">
        <v>2.0</v>
      </c>
      <c r="T114" s="12" t="s">
        <v>28</v>
      </c>
      <c r="U114" s="12" t="s">
        <v>86</v>
      </c>
      <c r="V114" s="12" t="str">
        <f t="shared" si="115"/>
        <v>Ángel Alvarado para 2 yardas, 2do down</v>
      </c>
      <c r="W114" s="10">
        <f t="shared" ref="W114:X114" si="116">W113</f>
        <v>17</v>
      </c>
      <c r="X114" s="10">
        <f t="shared" si="116"/>
        <v>19</v>
      </c>
      <c r="Y114" s="12"/>
      <c r="Z114" s="12"/>
      <c r="AA114" s="12"/>
      <c r="AB114" s="12"/>
      <c r="AC114" s="12"/>
      <c r="AD114" s="12"/>
    </row>
    <row r="115" ht="14.25" customHeight="1">
      <c r="A115" s="11">
        <v>3.0</v>
      </c>
      <c r="B115" s="12" t="s">
        <v>26</v>
      </c>
      <c r="C115" s="12">
        <v>10.0</v>
      </c>
      <c r="D115" s="11" t="s">
        <v>34</v>
      </c>
      <c r="E115" s="12" t="s">
        <v>26</v>
      </c>
      <c r="F115" s="12">
        <v>31.0</v>
      </c>
      <c r="G115" s="11" t="s">
        <v>35</v>
      </c>
      <c r="H115" s="12" t="s">
        <v>38</v>
      </c>
      <c r="I115" s="12" t="s">
        <v>58</v>
      </c>
      <c r="J115" s="12">
        <f t="shared" ref="J115:J116" si="118">J114-M114</f>
        <v>8</v>
      </c>
      <c r="K115" s="12">
        <v>-26.0</v>
      </c>
      <c r="L115" s="12">
        <v>-19.0</v>
      </c>
      <c r="M115" s="12">
        <v>7.0</v>
      </c>
      <c r="N115" s="12" t="s">
        <v>64</v>
      </c>
      <c r="O115" s="12">
        <f t="shared" si="1"/>
        <v>1</v>
      </c>
      <c r="P115" s="14">
        <v>3.595042</v>
      </c>
      <c r="Q115" s="14">
        <v>3.825662</v>
      </c>
      <c r="R115" s="14">
        <v>0.23062</v>
      </c>
      <c r="S115" s="12">
        <v>5.0</v>
      </c>
      <c r="T115" s="12" t="s">
        <v>28</v>
      </c>
      <c r="U115" s="12" t="s">
        <v>204</v>
      </c>
      <c r="V115" s="12" t="str">
        <f t="shared" si="115"/>
        <v>Ángel Alvarado para 7 yardas, 3er down</v>
      </c>
      <c r="W115" s="10">
        <f t="shared" ref="W115:X115" si="117">W114</f>
        <v>17</v>
      </c>
      <c r="X115" s="10">
        <f t="shared" si="117"/>
        <v>19</v>
      </c>
      <c r="Y115" s="12"/>
      <c r="Z115" s="12"/>
      <c r="AA115" s="12"/>
      <c r="AB115" s="12"/>
      <c r="AC115" s="12"/>
      <c r="AD115" s="12"/>
    </row>
    <row r="116" ht="14.25" customHeight="1">
      <c r="A116" s="11">
        <v>3.0</v>
      </c>
      <c r="B116" s="12" t="s">
        <v>26</v>
      </c>
      <c r="C116" s="12">
        <v>10.0</v>
      </c>
      <c r="D116" s="11" t="s">
        <v>34</v>
      </c>
      <c r="E116" s="12" t="s">
        <v>26</v>
      </c>
      <c r="F116" s="12">
        <v>21.0</v>
      </c>
      <c r="G116" s="12" t="s">
        <v>77</v>
      </c>
      <c r="H116" s="12" t="s">
        <v>38</v>
      </c>
      <c r="I116" s="12" t="s">
        <v>69</v>
      </c>
      <c r="J116" s="12">
        <f t="shared" si="118"/>
        <v>1</v>
      </c>
      <c r="K116" s="12">
        <v>-19.0</v>
      </c>
      <c r="L116" s="12">
        <v>-17.0</v>
      </c>
      <c r="M116" s="12">
        <v>2.0</v>
      </c>
      <c r="N116" s="12" t="s">
        <v>48</v>
      </c>
      <c r="O116" s="12">
        <f t="shared" si="1"/>
        <v>10</v>
      </c>
      <c r="P116" s="14">
        <v>3.825662</v>
      </c>
      <c r="Q116" s="14">
        <v>4.193824</v>
      </c>
      <c r="R116" s="14">
        <v>0.368162</v>
      </c>
      <c r="S116" s="12">
        <v>5.0</v>
      </c>
      <c r="T116" s="12" t="s">
        <v>28</v>
      </c>
      <c r="U116" s="12" t="s">
        <v>204</v>
      </c>
      <c r="V116" s="12" t="str">
        <f t="shared" si="115"/>
        <v>Eduardo Martínez Alvaradopara 2 yardas, 1er down</v>
      </c>
      <c r="W116" s="10">
        <f t="shared" ref="W116:X116" si="119">W115</f>
        <v>17</v>
      </c>
      <c r="X116" s="10">
        <f t="shared" si="119"/>
        <v>19</v>
      </c>
      <c r="Y116" s="12"/>
      <c r="Z116" s="12"/>
      <c r="AA116" s="12"/>
      <c r="AB116" s="12"/>
      <c r="AC116" s="12"/>
      <c r="AD116" s="12"/>
    </row>
    <row r="117" ht="14.25" customHeight="1">
      <c r="A117" s="11">
        <v>3.0</v>
      </c>
      <c r="B117" s="12" t="s">
        <v>26</v>
      </c>
      <c r="C117" s="12">
        <v>10.0</v>
      </c>
      <c r="D117" s="11" t="s">
        <v>34</v>
      </c>
      <c r="E117" s="12" t="s">
        <v>26</v>
      </c>
      <c r="F117" s="12">
        <v>20.0</v>
      </c>
      <c r="G117" s="12" t="s">
        <v>148</v>
      </c>
      <c r="H117" s="12" t="s">
        <v>38</v>
      </c>
      <c r="I117" s="12" t="s">
        <v>39</v>
      </c>
      <c r="J117" s="10">
        <v>10.0</v>
      </c>
      <c r="K117" s="12">
        <v>-17.0</v>
      </c>
      <c r="L117" s="12">
        <v>0.0</v>
      </c>
      <c r="M117" s="12">
        <v>17.0</v>
      </c>
      <c r="N117" s="12" t="s">
        <v>40</v>
      </c>
      <c r="O117" s="12" t="str">
        <f t="shared" si="1"/>
        <v/>
      </c>
      <c r="P117" s="14">
        <v>4.193824</v>
      </c>
      <c r="Q117" s="14">
        <v>7.0</v>
      </c>
      <c r="R117" s="14">
        <v>2.806176</v>
      </c>
      <c r="S117" s="12" t="s">
        <v>27</v>
      </c>
      <c r="T117" s="12" t="s">
        <v>27</v>
      </c>
      <c r="U117" s="12" t="s">
        <v>27</v>
      </c>
      <c r="V117" s="12" t="str">
        <f t="shared" si="115"/>
        <v>Jorge Luis Chaib De Leónpara 17 yardas, TD</v>
      </c>
      <c r="W117" s="10">
        <f t="shared" ref="W117:W137" si="120">W116</f>
        <v>17</v>
      </c>
      <c r="X117" s="10">
        <v>25.0</v>
      </c>
      <c r="Y117" s="12"/>
      <c r="Z117" s="12"/>
      <c r="AA117" s="12"/>
      <c r="AB117" s="12"/>
      <c r="AC117" s="12"/>
      <c r="AD117" s="12"/>
    </row>
    <row r="118" ht="14.25" customHeight="1">
      <c r="A118" s="11">
        <v>3.0</v>
      </c>
      <c r="B118" s="12" t="s">
        <v>26</v>
      </c>
      <c r="C118" s="12" t="s">
        <v>27</v>
      </c>
      <c r="D118" s="12" t="s">
        <v>27</v>
      </c>
      <c r="E118" s="12" t="s">
        <v>26</v>
      </c>
      <c r="F118" s="12">
        <v>42.0</v>
      </c>
      <c r="G118" s="12" t="s">
        <v>42</v>
      </c>
      <c r="H118" s="12" t="s">
        <v>43</v>
      </c>
      <c r="I118" s="12" t="s">
        <v>27</v>
      </c>
      <c r="J118" s="12"/>
      <c r="K118" s="12">
        <v>-10.0</v>
      </c>
      <c r="L118" s="12">
        <v>0.0</v>
      </c>
      <c r="M118" s="12">
        <v>20.0</v>
      </c>
      <c r="N118" s="12" t="s">
        <v>146</v>
      </c>
      <c r="O118" s="12" t="str">
        <f t="shared" si="1"/>
        <v/>
      </c>
      <c r="P118" s="15"/>
      <c r="Q118" s="15"/>
      <c r="R118" s="14">
        <v>0.0</v>
      </c>
      <c r="S118" s="12" t="s">
        <v>27</v>
      </c>
      <c r="T118" s="12" t="s">
        <v>27</v>
      </c>
      <c r="U118" s="12" t="s">
        <v>27</v>
      </c>
      <c r="V118" s="12" t="str">
        <f>G118 &amp; " " &amp; N118</f>
        <v>Reynaldo Adolfo Blanco Palomo PAT exitosa</v>
      </c>
      <c r="W118" s="10">
        <f t="shared" si="120"/>
        <v>17</v>
      </c>
      <c r="X118" s="10">
        <v>26.0</v>
      </c>
      <c r="Y118" s="12"/>
      <c r="Z118" s="12"/>
      <c r="AA118" s="12"/>
      <c r="AB118" s="12"/>
      <c r="AC118" s="12"/>
      <c r="AD118" s="12"/>
    </row>
    <row r="119" ht="14.25" customHeight="1">
      <c r="A119" s="11">
        <v>3.0</v>
      </c>
      <c r="B119" s="12" t="s">
        <v>26</v>
      </c>
      <c r="C119" s="12" t="s">
        <v>27</v>
      </c>
      <c r="D119" s="12" t="s">
        <v>27</v>
      </c>
      <c r="E119" s="12" t="s">
        <v>26</v>
      </c>
      <c r="F119" s="12">
        <v>42.0</v>
      </c>
      <c r="G119" s="12" t="s">
        <v>42</v>
      </c>
      <c r="H119" s="12" t="s">
        <v>31</v>
      </c>
      <c r="I119" s="12" t="s">
        <v>27</v>
      </c>
      <c r="J119" s="12"/>
      <c r="K119" s="12">
        <v>35.0</v>
      </c>
      <c r="L119" s="12">
        <v>0.0</v>
      </c>
      <c r="M119" s="12">
        <v>65.0</v>
      </c>
      <c r="N119" s="12" t="s">
        <v>32</v>
      </c>
      <c r="O119" s="12">
        <f t="shared" si="1"/>
        <v>10</v>
      </c>
      <c r="P119" s="13">
        <v>0.0</v>
      </c>
      <c r="Q119" s="14">
        <v>0.884959</v>
      </c>
      <c r="R119" s="14">
        <f>Q119-P119</f>
        <v>0.884959</v>
      </c>
      <c r="S119" s="12" t="s">
        <v>27</v>
      </c>
      <c r="T119" s="12" t="s">
        <v>27</v>
      </c>
      <c r="U119" s="12" t="s">
        <v>27</v>
      </c>
      <c r="V119" s="12" t="str">
        <f>G119 &amp; " kicks off " &amp; M119 &amp; " yardas, " &amp; N119</f>
        <v>Reynaldo Adolfo Blanco Palomo kicks off 65 yardas, Touchback</v>
      </c>
      <c r="W119" s="10">
        <f t="shared" si="120"/>
        <v>17</v>
      </c>
      <c r="X119" s="10">
        <f t="shared" ref="X119:X127" si="121">X118</f>
        <v>26</v>
      </c>
      <c r="Y119" s="12"/>
      <c r="Z119" s="12"/>
      <c r="AA119" s="12"/>
      <c r="AB119" s="12"/>
      <c r="AC119" s="12"/>
      <c r="AD119" s="12"/>
    </row>
    <row r="120" ht="14.25" customHeight="1">
      <c r="A120" s="11">
        <v>3.0</v>
      </c>
      <c r="B120" s="12" t="s">
        <v>28</v>
      </c>
      <c r="C120" s="12">
        <v>15.0</v>
      </c>
      <c r="D120" s="11" t="s">
        <v>51</v>
      </c>
      <c r="E120" s="12" t="s">
        <v>28</v>
      </c>
      <c r="F120" s="12">
        <v>4.0</v>
      </c>
      <c r="G120" s="11" t="s">
        <v>52</v>
      </c>
      <c r="H120" s="12" t="s">
        <v>53</v>
      </c>
      <c r="I120" s="12" t="s">
        <v>39</v>
      </c>
      <c r="J120" s="10">
        <v>10.0</v>
      </c>
      <c r="K120" s="12">
        <v>25.0</v>
      </c>
      <c r="L120" s="12">
        <v>31.0</v>
      </c>
      <c r="M120" s="12">
        <v>6.0</v>
      </c>
      <c r="N120" s="12" t="s">
        <v>54</v>
      </c>
      <c r="O120" s="12">
        <f t="shared" si="1"/>
        <v>4</v>
      </c>
      <c r="P120" s="14">
        <v>0.884959</v>
      </c>
      <c r="Q120" s="14">
        <v>1.172528</v>
      </c>
      <c r="R120" s="14">
        <v>0.287568</v>
      </c>
      <c r="S120" s="12" t="s">
        <v>27</v>
      </c>
      <c r="T120" s="12" t="s">
        <v>27</v>
      </c>
      <c r="U120" s="12" t="s">
        <v>27</v>
      </c>
      <c r="V120" s="12" t="str">
        <f>D120 &amp; H120 &amp; " completo para " &amp;G120 &amp; "para " &amp; M120 &amp; " yardas" </f>
        <v>Fernando Sarabia Pase completo para Víctor Palacios para 6 yardas</v>
      </c>
      <c r="W120" s="10">
        <f t="shared" si="120"/>
        <v>17</v>
      </c>
      <c r="X120" s="10">
        <f t="shared" si="121"/>
        <v>26</v>
      </c>
      <c r="Y120" s="12"/>
      <c r="Z120" s="12"/>
      <c r="AA120" s="12"/>
      <c r="AB120" s="12"/>
      <c r="AC120" s="12"/>
      <c r="AD120" s="12"/>
    </row>
    <row r="121" ht="14.25" customHeight="1">
      <c r="A121" s="11">
        <v>3.0</v>
      </c>
      <c r="B121" s="12" t="s">
        <v>28</v>
      </c>
      <c r="C121" s="12">
        <v>15.0</v>
      </c>
      <c r="D121" s="11" t="s">
        <v>51</v>
      </c>
      <c r="E121" s="12" t="s">
        <v>28</v>
      </c>
      <c r="F121" s="12">
        <v>82.0</v>
      </c>
      <c r="G121" s="11" t="s">
        <v>102</v>
      </c>
      <c r="H121" s="12" t="s">
        <v>117</v>
      </c>
      <c r="I121" s="12" t="s">
        <v>58</v>
      </c>
      <c r="J121" s="12">
        <f t="shared" ref="J121:J122" si="122">J120-M120</f>
        <v>4</v>
      </c>
      <c r="K121" s="12">
        <v>31.0</v>
      </c>
      <c r="L121" s="12">
        <v>31.0</v>
      </c>
      <c r="M121" s="12">
        <v>0.0</v>
      </c>
      <c r="N121" s="12" t="s">
        <v>64</v>
      </c>
      <c r="O121" s="12">
        <f t="shared" si="1"/>
        <v>4</v>
      </c>
      <c r="P121" s="14">
        <v>1.172528</v>
      </c>
      <c r="Q121" s="14">
        <v>0.391952</v>
      </c>
      <c r="R121" s="14">
        <v>-0.78058</v>
      </c>
      <c r="S121" s="12" t="s">
        <v>27</v>
      </c>
      <c r="T121" s="12" t="s">
        <v>27</v>
      </c>
      <c r="U121" s="12" t="s">
        <v>27</v>
      </c>
      <c r="V121" s="12" t="str">
        <f>D121 &amp; H121 &amp; " intencionado para " &amp; G121</f>
        <v>Fernando Sarabia Pase incompleto intencionado para Mauricio Santos </v>
      </c>
      <c r="W121" s="10">
        <f t="shared" si="120"/>
        <v>17</v>
      </c>
      <c r="X121" s="10">
        <f t="shared" si="121"/>
        <v>26</v>
      </c>
      <c r="Y121" s="12"/>
      <c r="Z121" s="12"/>
      <c r="AA121" s="12"/>
      <c r="AB121" s="12"/>
      <c r="AC121" s="12"/>
      <c r="AD121" s="12"/>
    </row>
    <row r="122" ht="14.25" customHeight="1">
      <c r="A122" s="11">
        <v>3.0</v>
      </c>
      <c r="B122" s="12" t="s">
        <v>28</v>
      </c>
      <c r="C122" s="12" t="s">
        <v>27</v>
      </c>
      <c r="D122" s="12" t="s">
        <v>27</v>
      </c>
      <c r="E122" s="12" t="s">
        <v>26</v>
      </c>
      <c r="F122" s="12" t="s">
        <v>27</v>
      </c>
      <c r="G122" s="12" t="s">
        <v>27</v>
      </c>
      <c r="H122" s="12" t="s">
        <v>161</v>
      </c>
      <c r="I122" s="12" t="s">
        <v>69</v>
      </c>
      <c r="J122" s="12">
        <f t="shared" si="122"/>
        <v>4</v>
      </c>
      <c r="K122" s="12">
        <v>31.0</v>
      </c>
      <c r="L122" s="12">
        <v>46.0</v>
      </c>
      <c r="M122" s="12">
        <v>15.0</v>
      </c>
      <c r="N122" s="12" t="s">
        <v>48</v>
      </c>
      <c r="O122" s="12">
        <f t="shared" si="1"/>
        <v>10</v>
      </c>
      <c r="P122" s="14">
        <v>0.391952</v>
      </c>
      <c r="Q122" s="14">
        <v>2.468226</v>
      </c>
      <c r="R122" s="14">
        <v>2.076274</v>
      </c>
      <c r="S122" s="12" t="s">
        <v>27</v>
      </c>
      <c r="T122" s="12" t="s">
        <v>27</v>
      </c>
      <c r="U122" s="12" t="s">
        <v>27</v>
      </c>
      <c r="V122" s="12" t="str">
        <f>H122 &amp; ", " &amp; M122 &amp; " yardas"</f>
        <v>Castigo a la defensiva, 15 yardas</v>
      </c>
      <c r="W122" s="10">
        <f t="shared" si="120"/>
        <v>17</v>
      </c>
      <c r="X122" s="10">
        <f t="shared" si="121"/>
        <v>26</v>
      </c>
      <c r="Y122" s="12"/>
      <c r="Z122" s="12"/>
      <c r="AA122" s="12"/>
      <c r="AB122" s="12"/>
      <c r="AC122" s="12"/>
      <c r="AD122" s="12"/>
    </row>
    <row r="123" ht="14.25" customHeight="1">
      <c r="A123" s="11">
        <v>3.0</v>
      </c>
      <c r="B123" s="12" t="s">
        <v>28</v>
      </c>
      <c r="C123" s="12">
        <v>15.0</v>
      </c>
      <c r="D123" s="11" t="s">
        <v>51</v>
      </c>
      <c r="E123" s="12" t="s">
        <v>28</v>
      </c>
      <c r="F123" s="12">
        <v>82.0</v>
      </c>
      <c r="G123" s="11" t="s">
        <v>102</v>
      </c>
      <c r="H123" s="12" t="s">
        <v>53</v>
      </c>
      <c r="I123" s="12" t="s">
        <v>39</v>
      </c>
      <c r="J123" s="10">
        <v>10.0</v>
      </c>
      <c r="K123" s="12">
        <v>46.0</v>
      </c>
      <c r="L123" s="12">
        <v>-39.0</v>
      </c>
      <c r="M123" s="12">
        <v>15.0</v>
      </c>
      <c r="N123" s="12" t="s">
        <v>48</v>
      </c>
      <c r="O123" s="12">
        <f t="shared" si="1"/>
        <v>10</v>
      </c>
      <c r="P123" s="14">
        <v>2.468226</v>
      </c>
      <c r="Q123" s="14">
        <v>3.286032</v>
      </c>
      <c r="R123" s="14">
        <v>0.817806</v>
      </c>
      <c r="S123" s="12" t="s">
        <v>27</v>
      </c>
      <c r="T123" s="12" t="s">
        <v>27</v>
      </c>
      <c r="U123" s="12" t="s">
        <v>27</v>
      </c>
      <c r="V123" s="12" t="str">
        <f>D123 &amp; H123 &amp; " completo para " &amp;G123 &amp; "para " &amp; M123 &amp; " yardas" </f>
        <v>Fernando Sarabia Pase completo para Mauricio Santos para 15 yardas</v>
      </c>
      <c r="W123" s="10">
        <f t="shared" si="120"/>
        <v>17</v>
      </c>
      <c r="X123" s="10">
        <f t="shared" si="121"/>
        <v>26</v>
      </c>
      <c r="Y123" s="12"/>
      <c r="Z123" s="12"/>
      <c r="AA123" s="12"/>
      <c r="AB123" s="12"/>
      <c r="AC123" s="12"/>
      <c r="AD123" s="12"/>
    </row>
    <row r="124" ht="14.25" customHeight="1">
      <c r="A124" s="11">
        <v>3.0</v>
      </c>
      <c r="B124" s="12" t="s">
        <v>28</v>
      </c>
      <c r="C124" s="12">
        <v>15.0</v>
      </c>
      <c r="D124" s="11" t="s">
        <v>51</v>
      </c>
      <c r="E124" s="12" t="s">
        <v>28</v>
      </c>
      <c r="F124" s="12">
        <v>23.0</v>
      </c>
      <c r="G124" s="11" t="s">
        <v>61</v>
      </c>
      <c r="H124" s="12" t="s">
        <v>38</v>
      </c>
      <c r="I124" s="12" t="s">
        <v>39</v>
      </c>
      <c r="J124" s="10">
        <v>10.0</v>
      </c>
      <c r="K124" s="12">
        <v>-39.0</v>
      </c>
      <c r="L124" s="12">
        <v>-33.0</v>
      </c>
      <c r="M124" s="12">
        <v>6.0</v>
      </c>
      <c r="N124" s="12" t="s">
        <v>54</v>
      </c>
      <c r="O124" s="12">
        <f t="shared" si="1"/>
        <v>4</v>
      </c>
      <c r="P124" s="14">
        <v>3.286032</v>
      </c>
      <c r="Q124" s="14">
        <v>3.486481</v>
      </c>
      <c r="R124" s="14">
        <v>0.200448</v>
      </c>
      <c r="S124" s="12">
        <v>2.0</v>
      </c>
      <c r="T124" s="12" t="s">
        <v>26</v>
      </c>
      <c r="U124" s="12" t="s">
        <v>62</v>
      </c>
      <c r="V124" s="12" t="str">
        <f>G124 &amp; "para " &amp; M124 &amp; " yardas, " &amp; N124</f>
        <v>Alejandro Cruz para 6 yardas, 2do down</v>
      </c>
      <c r="W124" s="10">
        <f t="shared" si="120"/>
        <v>17</v>
      </c>
      <c r="X124" s="10">
        <f t="shared" si="121"/>
        <v>26</v>
      </c>
      <c r="Y124" s="12"/>
      <c r="Z124" s="12"/>
      <c r="AA124" s="12"/>
      <c r="AB124" s="12"/>
      <c r="AC124" s="12"/>
      <c r="AD124" s="12"/>
    </row>
    <row r="125" ht="14.25" customHeight="1">
      <c r="A125" s="11">
        <v>3.0</v>
      </c>
      <c r="B125" s="12" t="s">
        <v>28</v>
      </c>
      <c r="C125" s="12">
        <v>15.0</v>
      </c>
      <c r="D125" s="11" t="s">
        <v>51</v>
      </c>
      <c r="E125" s="12" t="s">
        <v>28</v>
      </c>
      <c r="F125" s="12">
        <v>83.0</v>
      </c>
      <c r="G125" s="12" t="s">
        <v>171</v>
      </c>
      <c r="H125" s="12" t="s">
        <v>117</v>
      </c>
      <c r="I125" s="12" t="s">
        <v>58</v>
      </c>
      <c r="J125" s="12">
        <f t="shared" ref="J125:J127" si="123">J124-M124</f>
        <v>4</v>
      </c>
      <c r="K125" s="12">
        <v>-33.0</v>
      </c>
      <c r="L125" s="12">
        <v>-33.0</v>
      </c>
      <c r="M125" s="12">
        <v>0.0</v>
      </c>
      <c r="N125" s="12" t="s">
        <v>64</v>
      </c>
      <c r="O125" s="12">
        <f t="shared" si="1"/>
        <v>4</v>
      </c>
      <c r="P125" s="14">
        <v>3.486481</v>
      </c>
      <c r="Q125" s="14">
        <v>2.873191</v>
      </c>
      <c r="R125" s="14">
        <v>-0.61329</v>
      </c>
      <c r="S125" s="12" t="s">
        <v>27</v>
      </c>
      <c r="T125" s="12" t="s">
        <v>27</v>
      </c>
      <c r="U125" s="12" t="s">
        <v>27</v>
      </c>
      <c r="V125" s="12" t="str">
        <f t="shared" ref="V125:V127" si="124">D125 &amp; H125 &amp; " intencionado para " &amp; G125</f>
        <v>Fernando Sarabia Pase incompleto intencionado para Wilfredo Fausto Valdez</v>
      </c>
      <c r="W125" s="10">
        <f t="shared" si="120"/>
        <v>17</v>
      </c>
      <c r="X125" s="10">
        <f t="shared" si="121"/>
        <v>26</v>
      </c>
      <c r="Y125" s="12"/>
      <c r="Z125" s="12"/>
      <c r="AA125" s="12"/>
      <c r="AB125" s="12"/>
      <c r="AC125" s="12"/>
      <c r="AD125" s="12"/>
    </row>
    <row r="126" ht="14.25" customHeight="1">
      <c r="A126" s="11">
        <v>3.0</v>
      </c>
      <c r="B126" s="12" t="s">
        <v>28</v>
      </c>
      <c r="C126" s="12">
        <v>15.0</v>
      </c>
      <c r="D126" s="11" t="s">
        <v>51</v>
      </c>
      <c r="E126" s="12" t="s">
        <v>28</v>
      </c>
      <c r="F126" s="12">
        <v>4.0</v>
      </c>
      <c r="G126" s="11" t="s">
        <v>52</v>
      </c>
      <c r="H126" s="12" t="s">
        <v>117</v>
      </c>
      <c r="I126" s="12" t="s">
        <v>69</v>
      </c>
      <c r="J126" s="12">
        <f t="shared" si="123"/>
        <v>4</v>
      </c>
      <c r="K126" s="12">
        <v>-33.0</v>
      </c>
      <c r="L126" s="12">
        <v>-33.0</v>
      </c>
      <c r="M126" s="12">
        <v>0.0</v>
      </c>
      <c r="N126" s="12" t="s">
        <v>70</v>
      </c>
      <c r="O126" s="12">
        <f t="shared" si="1"/>
        <v>4</v>
      </c>
      <c r="P126" s="14">
        <v>2.873191</v>
      </c>
      <c r="Q126" s="14">
        <v>1.402914</v>
      </c>
      <c r="R126" s="14">
        <v>-1.47028</v>
      </c>
      <c r="S126" s="12" t="s">
        <v>27</v>
      </c>
      <c r="T126" s="12" t="s">
        <v>27</v>
      </c>
      <c r="U126" s="12" t="s">
        <v>27</v>
      </c>
      <c r="V126" s="12" t="str">
        <f t="shared" si="124"/>
        <v>Fernando Sarabia Pase incompleto intencionado para Víctor Palacios </v>
      </c>
      <c r="W126" s="10">
        <f t="shared" si="120"/>
        <v>17</v>
      </c>
      <c r="X126" s="10">
        <f t="shared" si="121"/>
        <v>26</v>
      </c>
      <c r="Y126" s="12"/>
      <c r="Z126" s="12"/>
      <c r="AA126" s="12"/>
      <c r="AB126" s="12"/>
      <c r="AC126" s="12"/>
      <c r="AD126" s="12"/>
    </row>
    <row r="127" ht="14.25" customHeight="1">
      <c r="A127" s="11">
        <v>3.0</v>
      </c>
      <c r="B127" s="12" t="s">
        <v>28</v>
      </c>
      <c r="C127" s="12">
        <v>15.0</v>
      </c>
      <c r="D127" s="11" t="s">
        <v>51</v>
      </c>
      <c r="E127" s="12" t="s">
        <v>28</v>
      </c>
      <c r="F127" s="12">
        <v>1.0</v>
      </c>
      <c r="G127" s="12" t="s">
        <v>212</v>
      </c>
      <c r="H127" s="12" t="s">
        <v>117</v>
      </c>
      <c r="I127" s="12" t="s">
        <v>74</v>
      </c>
      <c r="J127" s="12">
        <f t="shared" si="123"/>
        <v>4</v>
      </c>
      <c r="K127" s="12">
        <v>-33.0</v>
      </c>
      <c r="L127" s="12">
        <v>-33.0</v>
      </c>
      <c r="M127" s="12">
        <v>0.0</v>
      </c>
      <c r="N127" s="12" t="s">
        <v>194</v>
      </c>
      <c r="O127" s="12">
        <f t="shared" si="1"/>
        <v>10</v>
      </c>
      <c r="P127" s="14">
        <v>1.402914</v>
      </c>
      <c r="Q127" s="14">
        <v>-1.524915</v>
      </c>
      <c r="R127" s="14">
        <f>Q127-P127</f>
        <v>-2.927829</v>
      </c>
      <c r="S127" s="12" t="s">
        <v>27</v>
      </c>
      <c r="T127" s="12" t="s">
        <v>27</v>
      </c>
      <c r="U127" s="12" t="s">
        <v>27</v>
      </c>
      <c r="V127" s="12" t="str">
        <f t="shared" si="124"/>
        <v>Fernando Sarabia Pase incompleto intencionado para Erick Landeros Castillo</v>
      </c>
      <c r="W127" s="10">
        <f t="shared" si="120"/>
        <v>17</v>
      </c>
      <c r="X127" s="10">
        <f t="shared" si="121"/>
        <v>26</v>
      </c>
      <c r="Y127" s="12"/>
      <c r="Z127" s="12"/>
      <c r="AA127" s="12"/>
      <c r="AB127" s="12"/>
      <c r="AC127" s="12"/>
      <c r="AD127" s="12"/>
    </row>
    <row r="128" ht="14.25" customHeight="1">
      <c r="A128" s="11">
        <v>3.0</v>
      </c>
      <c r="B128" s="12" t="s">
        <v>26</v>
      </c>
      <c r="C128" s="12">
        <v>10.0</v>
      </c>
      <c r="D128" s="11" t="s">
        <v>34</v>
      </c>
      <c r="E128" s="12" t="s">
        <v>26</v>
      </c>
      <c r="F128" s="12">
        <v>31.0</v>
      </c>
      <c r="G128" s="11" t="s">
        <v>35</v>
      </c>
      <c r="H128" s="12" t="s">
        <v>38</v>
      </c>
      <c r="I128" s="12" t="s">
        <v>39</v>
      </c>
      <c r="J128" s="10">
        <v>10.0</v>
      </c>
      <c r="K128" s="12">
        <v>33.0</v>
      </c>
      <c r="L128" s="12">
        <v>0.0</v>
      </c>
      <c r="M128" s="12">
        <v>67.0</v>
      </c>
      <c r="N128" s="12" t="s">
        <v>40</v>
      </c>
      <c r="O128" s="12" t="str">
        <f t="shared" si="1"/>
        <v/>
      </c>
      <c r="P128" s="14">
        <v>1.524915</v>
      </c>
      <c r="Q128" s="14">
        <v>7.0</v>
      </c>
      <c r="R128" s="14">
        <v>5.475085</v>
      </c>
      <c r="S128" s="12" t="s">
        <v>27</v>
      </c>
      <c r="T128" s="12" t="s">
        <v>27</v>
      </c>
      <c r="U128" s="12" t="s">
        <v>27</v>
      </c>
      <c r="V128" s="12" t="str">
        <f>G128 &amp; "para " &amp; M128 &amp; " yardas, " &amp; N128</f>
        <v>Ángel Alvarado para 67 yardas, TD</v>
      </c>
      <c r="W128" s="10">
        <f t="shared" si="120"/>
        <v>17</v>
      </c>
      <c r="X128" s="10">
        <v>32.0</v>
      </c>
      <c r="Y128" s="12"/>
      <c r="Z128" s="12"/>
      <c r="AA128" s="12"/>
      <c r="AB128" s="12"/>
      <c r="AC128" s="12"/>
      <c r="AD128" s="12"/>
    </row>
    <row r="129" ht="14.25" customHeight="1">
      <c r="A129" s="11">
        <v>3.0</v>
      </c>
      <c r="B129" s="12" t="s">
        <v>26</v>
      </c>
      <c r="C129" s="12" t="s">
        <v>27</v>
      </c>
      <c r="D129" s="12" t="s">
        <v>27</v>
      </c>
      <c r="E129" s="12" t="s">
        <v>26</v>
      </c>
      <c r="F129" s="12">
        <v>42.0</v>
      </c>
      <c r="G129" s="12" t="s">
        <v>42</v>
      </c>
      <c r="H129" s="12" t="s">
        <v>43</v>
      </c>
      <c r="I129" s="12" t="s">
        <v>27</v>
      </c>
      <c r="J129" s="12"/>
      <c r="K129" s="12">
        <v>-10.0</v>
      </c>
      <c r="L129" s="12">
        <v>0.0</v>
      </c>
      <c r="M129" s="12">
        <v>20.0</v>
      </c>
      <c r="N129" s="12" t="s">
        <v>146</v>
      </c>
      <c r="O129" s="12" t="str">
        <f t="shared" si="1"/>
        <v/>
      </c>
      <c r="P129" s="15"/>
      <c r="Q129" s="15"/>
      <c r="R129" s="14">
        <v>0.0</v>
      </c>
      <c r="S129" s="12" t="s">
        <v>27</v>
      </c>
      <c r="T129" s="12" t="s">
        <v>27</v>
      </c>
      <c r="U129" s="12" t="s">
        <v>27</v>
      </c>
      <c r="V129" s="12" t="str">
        <f>G129 &amp; " " &amp; N129</f>
        <v>Reynaldo Adolfo Blanco Palomo PAT exitosa</v>
      </c>
      <c r="W129" s="10">
        <f t="shared" si="120"/>
        <v>17</v>
      </c>
      <c r="X129" s="10">
        <v>33.0</v>
      </c>
      <c r="Y129" s="12"/>
      <c r="Z129" s="12"/>
      <c r="AA129" s="12"/>
      <c r="AB129" s="12"/>
      <c r="AC129" s="12"/>
      <c r="AD129" s="12"/>
    </row>
    <row r="130" ht="14.25" customHeight="1">
      <c r="A130" s="11">
        <v>3.0</v>
      </c>
      <c r="B130" s="12" t="s">
        <v>26</v>
      </c>
      <c r="C130" s="12" t="s">
        <v>27</v>
      </c>
      <c r="D130" s="12" t="s">
        <v>27</v>
      </c>
      <c r="E130" s="12" t="s">
        <v>26</v>
      </c>
      <c r="F130" s="12">
        <v>42.0</v>
      </c>
      <c r="G130" s="12" t="s">
        <v>42</v>
      </c>
      <c r="H130" s="12" t="s">
        <v>31</v>
      </c>
      <c r="I130" s="12" t="s">
        <v>27</v>
      </c>
      <c r="J130" s="12"/>
      <c r="K130" s="12">
        <v>35.0</v>
      </c>
      <c r="L130" s="12">
        <v>0.0</v>
      </c>
      <c r="M130" s="12">
        <v>65.0</v>
      </c>
      <c r="N130" s="12" t="s">
        <v>32</v>
      </c>
      <c r="O130" s="12">
        <f t="shared" si="1"/>
        <v>10</v>
      </c>
      <c r="P130" s="13">
        <v>0.0</v>
      </c>
      <c r="Q130" s="14">
        <v>0.884959</v>
      </c>
      <c r="R130" s="14">
        <f>Q130-P130</f>
        <v>0.884959</v>
      </c>
      <c r="S130" s="12" t="s">
        <v>27</v>
      </c>
      <c r="T130" s="12" t="s">
        <v>27</v>
      </c>
      <c r="U130" s="12" t="s">
        <v>27</v>
      </c>
      <c r="V130" s="12" t="str">
        <f>G130 &amp; " kicks off " &amp; M130 &amp; " yardas, " &amp; N130</f>
        <v>Reynaldo Adolfo Blanco Palomo kicks off 65 yardas, Touchback</v>
      </c>
      <c r="W130" s="10">
        <f t="shared" si="120"/>
        <v>17</v>
      </c>
      <c r="X130" s="10">
        <f t="shared" ref="X130:X139" si="125">X129</f>
        <v>33</v>
      </c>
      <c r="Y130" s="12"/>
      <c r="Z130" s="12"/>
      <c r="AA130" s="12"/>
      <c r="AB130" s="12"/>
      <c r="AC130" s="12"/>
      <c r="AD130" s="12"/>
    </row>
    <row r="131" ht="14.25" customHeight="1">
      <c r="A131" s="11">
        <v>3.0</v>
      </c>
      <c r="B131" s="12" t="s">
        <v>28</v>
      </c>
      <c r="C131" s="12">
        <v>15.0</v>
      </c>
      <c r="D131" s="11" t="s">
        <v>51</v>
      </c>
      <c r="E131" s="12" t="s">
        <v>28</v>
      </c>
      <c r="F131" s="12">
        <v>23.0</v>
      </c>
      <c r="G131" s="11" t="s">
        <v>61</v>
      </c>
      <c r="H131" s="12" t="s">
        <v>38</v>
      </c>
      <c r="I131" s="12" t="s">
        <v>39</v>
      </c>
      <c r="J131" s="10">
        <v>10.0</v>
      </c>
      <c r="K131" s="12">
        <v>25.0</v>
      </c>
      <c r="L131" s="12">
        <v>28.0</v>
      </c>
      <c r="M131" s="12">
        <v>3.0</v>
      </c>
      <c r="N131" s="12" t="s">
        <v>54</v>
      </c>
      <c r="O131" s="12">
        <f t="shared" si="1"/>
        <v>7</v>
      </c>
      <c r="P131" s="14">
        <v>0.884959</v>
      </c>
      <c r="Q131" s="14">
        <v>0.664532</v>
      </c>
      <c r="R131" s="14">
        <v>-0.22043</v>
      </c>
      <c r="S131" s="12">
        <v>97.0</v>
      </c>
      <c r="T131" s="12" t="s">
        <v>26</v>
      </c>
      <c r="U131" s="12" t="s">
        <v>123</v>
      </c>
      <c r="V131" s="12" t="str">
        <f>G131 &amp; "para " &amp; M131 &amp; " yardas, " &amp; N131</f>
        <v>Alejandro Cruz para 3 yardas, 2do down</v>
      </c>
      <c r="W131" s="10">
        <f t="shared" si="120"/>
        <v>17</v>
      </c>
      <c r="X131" s="10">
        <f t="shared" si="125"/>
        <v>33</v>
      </c>
      <c r="Y131" s="12"/>
      <c r="Z131" s="12"/>
      <c r="AA131" s="12"/>
      <c r="AB131" s="12"/>
      <c r="AC131" s="12"/>
      <c r="AD131" s="12"/>
    </row>
    <row r="132" ht="14.25" customHeight="1">
      <c r="A132" s="11">
        <v>3.0</v>
      </c>
      <c r="B132" s="12" t="s">
        <v>28</v>
      </c>
      <c r="C132" s="12">
        <v>15.0</v>
      </c>
      <c r="D132" s="11" t="s">
        <v>51</v>
      </c>
      <c r="E132" s="12" t="s">
        <v>28</v>
      </c>
      <c r="F132" s="12">
        <v>4.0</v>
      </c>
      <c r="G132" s="11" t="s">
        <v>52</v>
      </c>
      <c r="H132" s="12" t="s">
        <v>117</v>
      </c>
      <c r="I132" s="12" t="s">
        <v>58</v>
      </c>
      <c r="J132" s="12">
        <f t="shared" ref="J132:J133" si="126">J131-M131</f>
        <v>7</v>
      </c>
      <c r="K132" s="12">
        <v>28.0</v>
      </c>
      <c r="L132" s="12">
        <v>28.0</v>
      </c>
      <c r="M132" s="12">
        <v>0.0</v>
      </c>
      <c r="N132" s="12" t="s">
        <v>64</v>
      </c>
      <c r="O132" s="12">
        <f t="shared" si="1"/>
        <v>7</v>
      </c>
      <c r="P132" s="14">
        <v>0.664532</v>
      </c>
      <c r="Q132" s="14">
        <v>-0.17605</v>
      </c>
      <c r="R132" s="14">
        <v>-0.84058</v>
      </c>
      <c r="S132" s="12" t="s">
        <v>27</v>
      </c>
      <c r="T132" s="12" t="s">
        <v>27</v>
      </c>
      <c r="U132" s="12" t="s">
        <v>27</v>
      </c>
      <c r="V132" s="12" t="str">
        <f>D132 &amp; H132 &amp; " intencionado para " &amp; G132</f>
        <v>Fernando Sarabia Pase incompleto intencionado para Víctor Palacios </v>
      </c>
      <c r="W132" s="10">
        <f t="shared" si="120"/>
        <v>17</v>
      </c>
      <c r="X132" s="10">
        <f t="shared" si="125"/>
        <v>33</v>
      </c>
      <c r="Y132" s="12"/>
      <c r="Z132" s="12"/>
      <c r="AA132" s="12"/>
      <c r="AB132" s="12"/>
      <c r="AC132" s="12"/>
      <c r="AD132" s="12"/>
    </row>
    <row r="133" ht="14.25" customHeight="1">
      <c r="A133" s="11">
        <v>3.0</v>
      </c>
      <c r="B133" s="12" t="s">
        <v>28</v>
      </c>
      <c r="C133" s="12">
        <v>15.0</v>
      </c>
      <c r="D133" s="11" t="s">
        <v>51</v>
      </c>
      <c r="E133" s="12" t="s">
        <v>28</v>
      </c>
      <c r="F133" s="12">
        <v>11.0</v>
      </c>
      <c r="G133" s="12" t="s">
        <v>110</v>
      </c>
      <c r="H133" s="12" t="s">
        <v>53</v>
      </c>
      <c r="I133" s="12" t="s">
        <v>69</v>
      </c>
      <c r="J133" s="12">
        <f t="shared" si="126"/>
        <v>7</v>
      </c>
      <c r="K133" s="12">
        <v>28.0</v>
      </c>
      <c r="L133" s="12">
        <v>42.0</v>
      </c>
      <c r="M133" s="12">
        <v>14.0</v>
      </c>
      <c r="N133" s="12" t="s">
        <v>48</v>
      </c>
      <c r="O133" s="12">
        <f t="shared" si="1"/>
        <v>10</v>
      </c>
      <c r="P133" s="14">
        <v>-0.17605</v>
      </c>
      <c r="Q133" s="14">
        <v>2.168501</v>
      </c>
      <c r="R133" s="14">
        <v>2.344553</v>
      </c>
      <c r="S133" s="12" t="s">
        <v>27</v>
      </c>
      <c r="T133" s="12" t="s">
        <v>27</v>
      </c>
      <c r="U133" s="12" t="s">
        <v>27</v>
      </c>
      <c r="V133" s="12" t="str">
        <f>D133 &amp; H133 &amp; " completo para " &amp;G133 &amp; "para " &amp; M133 &amp; " yardas" </f>
        <v>Fernando Sarabia Pase completo para Daniel Santos Guerrapara 14 yardas</v>
      </c>
      <c r="W133" s="10">
        <f t="shared" si="120"/>
        <v>17</v>
      </c>
      <c r="X133" s="10">
        <f t="shared" si="125"/>
        <v>33</v>
      </c>
      <c r="Y133" s="12"/>
      <c r="Z133" s="12"/>
      <c r="AA133" s="12"/>
      <c r="AB133" s="12"/>
      <c r="AC133" s="12"/>
      <c r="AD133" s="12"/>
    </row>
    <row r="134" ht="14.25" customHeight="1">
      <c r="A134" s="11">
        <v>3.0</v>
      </c>
      <c r="B134" s="12" t="s">
        <v>28</v>
      </c>
      <c r="C134" s="12">
        <v>15.0</v>
      </c>
      <c r="D134" s="11" t="s">
        <v>51</v>
      </c>
      <c r="E134" s="12" t="s">
        <v>28</v>
      </c>
      <c r="F134" s="12">
        <v>23.0</v>
      </c>
      <c r="G134" s="11" t="s">
        <v>61</v>
      </c>
      <c r="H134" s="12" t="s">
        <v>117</v>
      </c>
      <c r="I134" s="12" t="s">
        <v>39</v>
      </c>
      <c r="J134" s="10">
        <v>10.0</v>
      </c>
      <c r="K134" s="12">
        <v>42.0</v>
      </c>
      <c r="L134" s="12">
        <v>42.0</v>
      </c>
      <c r="M134" s="12">
        <v>0.0</v>
      </c>
      <c r="N134" s="12" t="s">
        <v>54</v>
      </c>
      <c r="O134" s="12">
        <f t="shared" si="1"/>
        <v>10</v>
      </c>
      <c r="P134" s="14">
        <v>2.168501</v>
      </c>
      <c r="Q134" s="14">
        <v>1.571283</v>
      </c>
      <c r="R134" s="14">
        <v>-0.59722</v>
      </c>
      <c r="S134" s="12" t="s">
        <v>27</v>
      </c>
      <c r="T134" s="12" t="s">
        <v>27</v>
      </c>
      <c r="U134" s="12" t="s">
        <v>27</v>
      </c>
      <c r="V134" s="12" t="str">
        <f>D134 &amp; H134 &amp; " intencionado para " &amp; G134</f>
        <v>Fernando Sarabia Pase incompleto intencionado para Alejandro Cruz </v>
      </c>
      <c r="W134" s="10">
        <f t="shared" si="120"/>
        <v>17</v>
      </c>
      <c r="X134" s="10">
        <f t="shared" si="125"/>
        <v>33</v>
      </c>
      <c r="Y134" s="12"/>
      <c r="Z134" s="12"/>
      <c r="AA134" s="12"/>
      <c r="AB134" s="12"/>
      <c r="AC134" s="12"/>
      <c r="AD134" s="12"/>
    </row>
    <row r="135" ht="14.25" customHeight="1">
      <c r="A135" s="11">
        <v>3.0</v>
      </c>
      <c r="B135" s="12" t="s">
        <v>28</v>
      </c>
      <c r="C135" s="12">
        <v>15.0</v>
      </c>
      <c r="D135" s="11" t="s">
        <v>51</v>
      </c>
      <c r="E135" s="12" t="s">
        <v>28</v>
      </c>
      <c r="F135" s="12">
        <v>15.0</v>
      </c>
      <c r="G135" s="11" t="s">
        <v>51</v>
      </c>
      <c r="H135" s="12" t="s">
        <v>38</v>
      </c>
      <c r="I135" s="12" t="s">
        <v>58</v>
      </c>
      <c r="J135" s="12">
        <f>J134-M134</f>
        <v>10</v>
      </c>
      <c r="K135" s="12">
        <v>42.0</v>
      </c>
      <c r="L135" s="12">
        <v>-44.0</v>
      </c>
      <c r="M135" s="12">
        <v>14.0</v>
      </c>
      <c r="N135" s="12" t="s">
        <v>48</v>
      </c>
      <c r="O135" s="12">
        <f t="shared" si="1"/>
        <v>10</v>
      </c>
      <c r="P135" s="14">
        <v>1.571283</v>
      </c>
      <c r="Q135" s="14">
        <v>3.005933</v>
      </c>
      <c r="R135" s="14">
        <v>1.434651</v>
      </c>
      <c r="S135" s="12" t="s">
        <v>27</v>
      </c>
      <c r="T135" s="12" t="s">
        <v>27</v>
      </c>
      <c r="U135" s="12" t="s">
        <v>27</v>
      </c>
      <c r="V135" s="12" t="str">
        <f>G135 &amp; "para " &amp; M135 &amp; " yardas, " &amp; N135</f>
        <v>Fernando Sarabia para 14 yardas, 1er down</v>
      </c>
      <c r="W135" s="10">
        <f t="shared" si="120"/>
        <v>17</v>
      </c>
      <c r="X135" s="10">
        <f t="shared" si="125"/>
        <v>33</v>
      </c>
      <c r="Y135" s="12"/>
      <c r="Z135" s="12"/>
      <c r="AA135" s="12"/>
      <c r="AB135" s="12"/>
      <c r="AC135" s="12"/>
      <c r="AD135" s="12"/>
    </row>
    <row r="136" ht="14.25" customHeight="1">
      <c r="A136" s="11">
        <v>3.0</v>
      </c>
      <c r="B136" s="12" t="s">
        <v>28</v>
      </c>
      <c r="C136" s="12">
        <v>15.0</v>
      </c>
      <c r="D136" s="11" t="s">
        <v>51</v>
      </c>
      <c r="E136" s="12" t="s">
        <v>28</v>
      </c>
      <c r="F136" s="12">
        <v>83.0</v>
      </c>
      <c r="G136" s="12" t="s">
        <v>171</v>
      </c>
      <c r="H136" s="12" t="s">
        <v>53</v>
      </c>
      <c r="I136" s="12" t="s">
        <v>39</v>
      </c>
      <c r="J136" s="10">
        <v>10.0</v>
      </c>
      <c r="K136" s="12">
        <v>-44.0</v>
      </c>
      <c r="L136" s="12">
        <v>-39.0</v>
      </c>
      <c r="M136" s="12">
        <v>5.0</v>
      </c>
      <c r="N136" s="12" t="s">
        <v>54</v>
      </c>
      <c r="O136" s="12">
        <f t="shared" si="1"/>
        <v>5</v>
      </c>
      <c r="P136" s="14">
        <v>3.005933</v>
      </c>
      <c r="Q136" s="14">
        <v>3.128795</v>
      </c>
      <c r="R136" s="14">
        <v>0.122861</v>
      </c>
      <c r="S136" s="12">
        <v>2.0</v>
      </c>
      <c r="T136" s="12" t="s">
        <v>26</v>
      </c>
      <c r="U136" s="12" t="s">
        <v>62</v>
      </c>
      <c r="V136" s="12" t="str">
        <f>D136 &amp; H136 &amp; " completo para " &amp;G136 &amp; "para " &amp; M136 &amp; " yardas" </f>
        <v>Fernando Sarabia Pase completo para Wilfredo Fausto Valdezpara 5 yardas</v>
      </c>
      <c r="W136" s="10">
        <f t="shared" si="120"/>
        <v>17</v>
      </c>
      <c r="X136" s="10">
        <f t="shared" si="125"/>
        <v>33</v>
      </c>
      <c r="Y136" s="12"/>
      <c r="Z136" s="12"/>
      <c r="AA136" s="12"/>
      <c r="AB136" s="12"/>
      <c r="AC136" s="12"/>
      <c r="AD136" s="12"/>
    </row>
    <row r="137" ht="14.25" customHeight="1">
      <c r="A137" s="11">
        <v>4.0</v>
      </c>
      <c r="B137" s="12" t="s">
        <v>28</v>
      </c>
      <c r="C137" s="12" t="s">
        <v>27</v>
      </c>
      <c r="D137" s="12" t="s">
        <v>27</v>
      </c>
      <c r="E137" s="12" t="s">
        <v>28</v>
      </c>
      <c r="F137" s="12" t="s">
        <v>27</v>
      </c>
      <c r="G137" s="12" t="s">
        <v>27</v>
      </c>
      <c r="H137" s="12" t="s">
        <v>106</v>
      </c>
      <c r="I137" s="12" t="s">
        <v>58</v>
      </c>
      <c r="J137" s="12">
        <f t="shared" ref="J137:J138" si="127">J136-M136</f>
        <v>5</v>
      </c>
      <c r="K137" s="12">
        <v>-39.0</v>
      </c>
      <c r="L137" s="12">
        <v>-49.0</v>
      </c>
      <c r="M137" s="12">
        <v>-10.0</v>
      </c>
      <c r="N137" s="12" t="s">
        <v>54</v>
      </c>
      <c r="O137" s="12">
        <f t="shared" si="1"/>
        <v>15</v>
      </c>
      <c r="P137" s="14">
        <v>3.128795</v>
      </c>
      <c r="Q137" s="14">
        <v>2.214382</v>
      </c>
      <c r="R137" s="14">
        <v>-0.91441</v>
      </c>
      <c r="S137" s="12" t="s">
        <v>27</v>
      </c>
      <c r="T137" s="12" t="s">
        <v>27</v>
      </c>
      <c r="U137" s="12" t="s">
        <v>27</v>
      </c>
      <c r="V137" s="12" t="str">
        <f>H137 &amp; ", " &amp; M137 &amp; " yardas"</f>
        <v>Castigo a la ofensiva, -10 yardas</v>
      </c>
      <c r="W137" s="10">
        <f t="shared" si="120"/>
        <v>17</v>
      </c>
      <c r="X137" s="10">
        <f t="shared" si="125"/>
        <v>33</v>
      </c>
      <c r="Y137" s="12"/>
      <c r="Z137" s="12"/>
      <c r="AA137" s="12"/>
      <c r="AB137" s="12"/>
      <c r="AC137" s="12"/>
      <c r="AD137" s="12"/>
    </row>
    <row r="138" ht="14.25" customHeight="1">
      <c r="A138" s="11">
        <v>4.0</v>
      </c>
      <c r="B138" s="12" t="s">
        <v>28</v>
      </c>
      <c r="C138" s="12">
        <v>15.0</v>
      </c>
      <c r="D138" s="11" t="s">
        <v>51</v>
      </c>
      <c r="E138" s="12" t="s">
        <v>28</v>
      </c>
      <c r="F138" s="12">
        <v>11.0</v>
      </c>
      <c r="G138" s="12" t="s">
        <v>110</v>
      </c>
      <c r="H138" s="12" t="s">
        <v>53</v>
      </c>
      <c r="I138" s="12" t="s">
        <v>58</v>
      </c>
      <c r="J138" s="12">
        <f t="shared" si="127"/>
        <v>15</v>
      </c>
      <c r="K138" s="12">
        <v>-49.0</v>
      </c>
      <c r="L138" s="12">
        <v>0.0</v>
      </c>
      <c r="M138" s="12">
        <v>49.0</v>
      </c>
      <c r="N138" s="12" t="s">
        <v>40</v>
      </c>
      <c r="O138" s="12" t="str">
        <f t="shared" si="1"/>
        <v/>
      </c>
      <c r="P138" s="14">
        <v>2.214382</v>
      </c>
      <c r="Q138" s="14">
        <v>7.0</v>
      </c>
      <c r="R138" s="14">
        <v>4.785618</v>
      </c>
      <c r="S138" s="12" t="s">
        <v>27</v>
      </c>
      <c r="T138" s="12" t="s">
        <v>27</v>
      </c>
      <c r="U138" s="12" t="s">
        <v>27</v>
      </c>
      <c r="V138" s="12" t="str">
        <f>D138 &amp; H138 &amp; " completo para " &amp;G138 &amp; "para " &amp; M138 &amp; " yardas" </f>
        <v>Fernando Sarabia Pase completo para Daniel Santos Guerrapara 49 yardas</v>
      </c>
      <c r="W138" s="10">
        <v>23.0</v>
      </c>
      <c r="X138" s="10">
        <f t="shared" si="125"/>
        <v>33</v>
      </c>
      <c r="Y138" s="12"/>
      <c r="Z138" s="12"/>
      <c r="AA138" s="12"/>
      <c r="AB138" s="12"/>
      <c r="AC138" s="12"/>
      <c r="AD138" s="12"/>
    </row>
    <row r="139" ht="14.25" customHeight="1">
      <c r="A139" s="11">
        <v>4.0</v>
      </c>
      <c r="B139" s="12" t="s">
        <v>28</v>
      </c>
      <c r="C139" s="12">
        <v>15.0</v>
      </c>
      <c r="D139" s="11" t="s">
        <v>51</v>
      </c>
      <c r="E139" s="12" t="s">
        <v>28</v>
      </c>
      <c r="F139" s="12">
        <v>4.0</v>
      </c>
      <c r="G139" s="11" t="s">
        <v>52</v>
      </c>
      <c r="H139" s="12" t="s">
        <v>221</v>
      </c>
      <c r="I139" s="12" t="s">
        <v>27</v>
      </c>
      <c r="J139" s="12"/>
      <c r="K139" s="12">
        <v>-3.0</v>
      </c>
      <c r="L139" s="12">
        <v>0.0</v>
      </c>
      <c r="M139" s="12">
        <v>3.0</v>
      </c>
      <c r="N139" s="12" t="s">
        <v>222</v>
      </c>
      <c r="O139" s="12" t="str">
        <f t="shared" si="1"/>
        <v/>
      </c>
      <c r="P139" s="15"/>
      <c r="Q139" s="15"/>
      <c r="R139" s="14">
        <v>0.0</v>
      </c>
      <c r="S139" s="12" t="s">
        <v>27</v>
      </c>
      <c r="T139" s="12" t="s">
        <v>27</v>
      </c>
      <c r="U139" s="12" t="s">
        <v>27</v>
      </c>
      <c r="V139" s="12" t="str">
        <f>N139</f>
        <v>2-PT fallada</v>
      </c>
      <c r="W139" s="10">
        <v>23.0</v>
      </c>
      <c r="X139" s="10">
        <f t="shared" si="125"/>
        <v>33</v>
      </c>
      <c r="Y139" s="12"/>
      <c r="Z139" s="12"/>
      <c r="AA139" s="12"/>
      <c r="AB139" s="12"/>
      <c r="AC139" s="12"/>
      <c r="AD139" s="12"/>
    </row>
    <row r="140" ht="14.25" customHeight="1">
      <c r="A140" s="11">
        <v>4.0</v>
      </c>
      <c r="B140" s="12" t="s">
        <v>28</v>
      </c>
      <c r="C140" s="12" t="s">
        <v>27</v>
      </c>
      <c r="D140" s="12" t="s">
        <v>27</v>
      </c>
      <c r="E140" s="12" t="s">
        <v>28</v>
      </c>
      <c r="F140" s="12">
        <v>28.0</v>
      </c>
      <c r="G140" s="11" t="s">
        <v>29</v>
      </c>
      <c r="H140" s="12" t="s">
        <v>31</v>
      </c>
      <c r="I140" s="12" t="s">
        <v>27</v>
      </c>
      <c r="J140" s="12"/>
      <c r="K140" s="12">
        <v>35.0</v>
      </c>
      <c r="L140" s="12">
        <v>-5.0</v>
      </c>
      <c r="M140" s="12">
        <v>60.0</v>
      </c>
      <c r="N140" s="12" t="s">
        <v>167</v>
      </c>
      <c r="O140" s="12" t="str">
        <f t="shared" si="1"/>
        <v/>
      </c>
      <c r="P140" s="15"/>
      <c r="Q140" s="15"/>
      <c r="R140" s="14">
        <v>0.0</v>
      </c>
      <c r="S140" s="12" t="s">
        <v>27</v>
      </c>
      <c r="T140" s="12" t="s">
        <v>27</v>
      </c>
      <c r="U140" s="12" t="s">
        <v>27</v>
      </c>
      <c r="V140" s="12" t="str">
        <f>G140 &amp; " kicks off " &amp; M140 &amp; " yardas, " &amp; N140 &amp; " por " &amp; G141 &amp; " para " &amp; M141 &amp; " yardas"</f>
        <v>Roberto Medina kicks off 60 yardas, Regreso por Jorge Luis Chaib De León para 17 yardas</v>
      </c>
      <c r="W140" s="10">
        <f t="shared" ref="W140:X140" si="128">W139</f>
        <v>23</v>
      </c>
      <c r="X140" s="10">
        <f t="shared" si="128"/>
        <v>33</v>
      </c>
      <c r="Y140" s="12"/>
      <c r="Z140" s="12"/>
      <c r="AA140" s="12"/>
      <c r="AB140" s="12"/>
      <c r="AC140" s="12"/>
      <c r="AD140" s="12"/>
    </row>
    <row r="141" ht="14.25" customHeight="1">
      <c r="A141" s="11">
        <v>4.0</v>
      </c>
      <c r="B141" s="12" t="s">
        <v>26</v>
      </c>
      <c r="C141" s="12" t="s">
        <v>27</v>
      </c>
      <c r="D141" s="12" t="s">
        <v>27</v>
      </c>
      <c r="E141" s="12" t="s">
        <v>26</v>
      </c>
      <c r="F141" s="12">
        <v>20.0</v>
      </c>
      <c r="G141" s="12" t="s">
        <v>148</v>
      </c>
      <c r="H141" s="12" t="s">
        <v>47</v>
      </c>
      <c r="I141" s="12" t="s">
        <v>27</v>
      </c>
      <c r="J141" s="12"/>
      <c r="K141" s="12">
        <v>5.0</v>
      </c>
      <c r="L141" s="12">
        <v>22.0</v>
      </c>
      <c r="M141" s="12">
        <v>17.0</v>
      </c>
      <c r="N141" s="12" t="s">
        <v>48</v>
      </c>
      <c r="O141" s="12">
        <f t="shared" si="1"/>
        <v>10</v>
      </c>
      <c r="P141" s="13">
        <v>0.0</v>
      </c>
      <c r="Q141" s="14">
        <v>0.649215</v>
      </c>
      <c r="R141" s="14">
        <f>Q141-P141</f>
        <v>0.649215</v>
      </c>
      <c r="S141" s="12">
        <v>46.0</v>
      </c>
      <c r="T141" s="12" t="s">
        <v>28</v>
      </c>
      <c r="U141" s="12" t="s">
        <v>27</v>
      </c>
      <c r="V141" s="12" t="s">
        <v>223</v>
      </c>
      <c r="W141" s="10">
        <f t="shared" ref="W141:X141" si="129">W140</f>
        <v>23</v>
      </c>
      <c r="X141" s="10">
        <f t="shared" si="129"/>
        <v>33</v>
      </c>
      <c r="Y141" s="12"/>
      <c r="Z141" s="12"/>
      <c r="AA141" s="12"/>
      <c r="AB141" s="12"/>
      <c r="AC141" s="12"/>
      <c r="AD141" s="12"/>
    </row>
    <row r="142" ht="14.25" customHeight="1">
      <c r="A142" s="11">
        <v>4.0</v>
      </c>
      <c r="B142" s="12" t="s">
        <v>26</v>
      </c>
      <c r="C142" s="12">
        <v>10.0</v>
      </c>
      <c r="D142" s="11" t="s">
        <v>34</v>
      </c>
      <c r="E142" s="12" t="s">
        <v>26</v>
      </c>
      <c r="F142" s="12">
        <v>10.0</v>
      </c>
      <c r="G142" s="11" t="s">
        <v>34</v>
      </c>
      <c r="H142" s="12" t="s">
        <v>38</v>
      </c>
      <c r="I142" s="12" t="s">
        <v>39</v>
      </c>
      <c r="J142" s="10">
        <v>10.0</v>
      </c>
      <c r="K142" s="12">
        <v>22.0</v>
      </c>
      <c r="L142" s="12">
        <v>23.0</v>
      </c>
      <c r="M142" s="12">
        <v>1.0</v>
      </c>
      <c r="N142" s="12" t="s">
        <v>54</v>
      </c>
      <c r="O142" s="12">
        <f t="shared" si="1"/>
        <v>9</v>
      </c>
      <c r="P142" s="14">
        <v>0.649215</v>
      </c>
      <c r="Q142" s="14">
        <v>0.124076</v>
      </c>
      <c r="R142" s="14">
        <v>-0.52514</v>
      </c>
      <c r="S142" s="12">
        <v>29.0</v>
      </c>
      <c r="T142" s="12" t="s">
        <v>28</v>
      </c>
      <c r="U142" s="12" t="s">
        <v>80</v>
      </c>
      <c r="V142" s="12" t="str">
        <f t="shared" ref="V142:V147" si="131">G142 &amp; "para " &amp; M142 &amp; " yardas, " &amp; N142</f>
        <v>Sergio Resendiz para 1 yardas, 2do down</v>
      </c>
      <c r="W142" s="10">
        <f t="shared" ref="W142:X142" si="130">W141</f>
        <v>23</v>
      </c>
      <c r="X142" s="10">
        <f t="shared" si="130"/>
        <v>33</v>
      </c>
      <c r="Y142" s="12"/>
      <c r="Z142" s="12"/>
      <c r="AA142" s="12"/>
      <c r="AB142" s="12"/>
      <c r="AC142" s="12"/>
      <c r="AD142" s="12"/>
    </row>
    <row r="143" ht="14.25" customHeight="1">
      <c r="A143" s="11">
        <v>4.0</v>
      </c>
      <c r="B143" s="12" t="s">
        <v>26</v>
      </c>
      <c r="C143" s="12">
        <v>10.0</v>
      </c>
      <c r="D143" s="11" t="s">
        <v>34</v>
      </c>
      <c r="E143" s="12" t="s">
        <v>26</v>
      </c>
      <c r="F143" s="12">
        <v>31.0</v>
      </c>
      <c r="G143" s="11" t="s">
        <v>35</v>
      </c>
      <c r="H143" s="12" t="s">
        <v>38</v>
      </c>
      <c r="I143" s="12" t="s">
        <v>58</v>
      </c>
      <c r="J143" s="12">
        <f>J142-M142</f>
        <v>9</v>
      </c>
      <c r="K143" s="12">
        <v>23.0</v>
      </c>
      <c r="L143" s="12">
        <v>34.0</v>
      </c>
      <c r="M143" s="12">
        <v>11.0</v>
      </c>
      <c r="N143" s="12" t="s">
        <v>48</v>
      </c>
      <c r="O143" s="12">
        <f t="shared" si="1"/>
        <v>10</v>
      </c>
      <c r="P143" s="14">
        <v>0.124076</v>
      </c>
      <c r="Q143" s="14">
        <v>1.61706</v>
      </c>
      <c r="R143" s="14">
        <v>1.492984</v>
      </c>
      <c r="S143" s="12">
        <v>27.0</v>
      </c>
      <c r="T143" s="12" t="s">
        <v>28</v>
      </c>
      <c r="U143" s="12" t="s">
        <v>89</v>
      </c>
      <c r="V143" s="12" t="str">
        <f t="shared" si="131"/>
        <v>Ángel Alvarado para 11 yardas, 1er down</v>
      </c>
      <c r="W143" s="10">
        <f t="shared" ref="W143:X143" si="132">W142</f>
        <v>23</v>
      </c>
      <c r="X143" s="10">
        <f t="shared" si="132"/>
        <v>33</v>
      </c>
      <c r="Y143" s="12"/>
      <c r="Z143" s="12"/>
      <c r="AA143" s="12"/>
      <c r="AB143" s="12"/>
      <c r="AC143" s="12"/>
      <c r="AD143" s="12"/>
    </row>
    <row r="144" ht="14.25" customHeight="1">
      <c r="A144" s="11">
        <v>4.0</v>
      </c>
      <c r="B144" s="12" t="s">
        <v>26</v>
      </c>
      <c r="C144" s="12">
        <v>10.0</v>
      </c>
      <c r="D144" s="11" t="s">
        <v>34</v>
      </c>
      <c r="E144" s="12" t="s">
        <v>26</v>
      </c>
      <c r="F144" s="12">
        <v>10.0</v>
      </c>
      <c r="G144" s="11" t="s">
        <v>34</v>
      </c>
      <c r="H144" s="12" t="s">
        <v>38</v>
      </c>
      <c r="I144" s="12" t="s">
        <v>39</v>
      </c>
      <c r="J144" s="10">
        <v>10.0</v>
      </c>
      <c r="K144" s="12">
        <v>34.0</v>
      </c>
      <c r="L144" s="12">
        <v>37.0</v>
      </c>
      <c r="M144" s="12">
        <v>3.0</v>
      </c>
      <c r="N144" s="12" t="s">
        <v>54</v>
      </c>
      <c r="O144" s="12">
        <f t="shared" si="1"/>
        <v>7</v>
      </c>
      <c r="P144" s="14">
        <v>1.61706</v>
      </c>
      <c r="Q144" s="14">
        <v>1.45628</v>
      </c>
      <c r="R144" s="14">
        <v>-0.16078</v>
      </c>
      <c r="S144" s="12">
        <v>10.0</v>
      </c>
      <c r="T144" s="12" t="s">
        <v>28</v>
      </c>
      <c r="U144" s="12" t="s">
        <v>114</v>
      </c>
      <c r="V144" s="12" t="str">
        <f t="shared" si="131"/>
        <v>Sergio Resendiz para 3 yardas, 2do down</v>
      </c>
      <c r="W144" s="10">
        <f t="shared" ref="W144:X144" si="133">W143</f>
        <v>23</v>
      </c>
      <c r="X144" s="10">
        <f t="shared" si="133"/>
        <v>33</v>
      </c>
      <c r="Y144" s="12"/>
      <c r="Z144" s="12"/>
      <c r="AA144" s="12"/>
      <c r="AB144" s="12"/>
      <c r="AC144" s="12"/>
      <c r="AD144" s="12"/>
    </row>
    <row r="145" ht="14.25" customHeight="1">
      <c r="A145" s="11">
        <v>4.0</v>
      </c>
      <c r="B145" s="12" t="s">
        <v>26</v>
      </c>
      <c r="C145" s="12">
        <v>31.0</v>
      </c>
      <c r="D145" s="12" t="s">
        <v>137</v>
      </c>
      <c r="E145" s="12" t="s">
        <v>26</v>
      </c>
      <c r="F145" s="12">
        <v>31.0</v>
      </c>
      <c r="G145" s="11" t="s">
        <v>35</v>
      </c>
      <c r="H145" s="12" t="s">
        <v>38</v>
      </c>
      <c r="I145" s="12" t="s">
        <v>58</v>
      </c>
      <c r="J145" s="12">
        <f>J144-M144</f>
        <v>7</v>
      </c>
      <c r="K145" s="12">
        <v>37.0</v>
      </c>
      <c r="L145" s="12">
        <v>48.0</v>
      </c>
      <c r="M145" s="12">
        <v>11.0</v>
      </c>
      <c r="N145" s="12" t="s">
        <v>48</v>
      </c>
      <c r="O145" s="12">
        <f t="shared" si="1"/>
        <v>10</v>
      </c>
      <c r="P145" s="14">
        <v>1.45628</v>
      </c>
      <c r="Q145" s="14">
        <v>2.59181</v>
      </c>
      <c r="R145" s="14">
        <v>1.13553</v>
      </c>
      <c r="S145" s="12">
        <v>6.0</v>
      </c>
      <c r="T145" s="12" t="s">
        <v>28</v>
      </c>
      <c r="U145" s="12" t="s">
        <v>227</v>
      </c>
      <c r="V145" s="12" t="str">
        <f t="shared" si="131"/>
        <v>Ángel Alvarado para 11 yardas, 1er down</v>
      </c>
      <c r="W145" s="10">
        <f t="shared" ref="W145:X145" si="134">W144</f>
        <v>23</v>
      </c>
      <c r="X145" s="10">
        <f t="shared" si="134"/>
        <v>33</v>
      </c>
      <c r="Y145" s="12"/>
      <c r="Z145" s="12"/>
      <c r="AA145" s="12"/>
      <c r="AB145" s="12"/>
      <c r="AC145" s="12"/>
      <c r="AD145" s="12"/>
    </row>
    <row r="146" ht="14.25" customHeight="1">
      <c r="A146" s="11">
        <v>4.0</v>
      </c>
      <c r="B146" s="12" t="s">
        <v>26</v>
      </c>
      <c r="C146" s="12">
        <v>10.0</v>
      </c>
      <c r="D146" s="11" t="s">
        <v>34</v>
      </c>
      <c r="E146" s="12" t="s">
        <v>26</v>
      </c>
      <c r="F146" s="12">
        <v>20.0</v>
      </c>
      <c r="G146" s="12" t="s">
        <v>148</v>
      </c>
      <c r="H146" s="12" t="s">
        <v>38</v>
      </c>
      <c r="I146" s="12" t="s">
        <v>39</v>
      </c>
      <c r="J146" s="10">
        <v>10.0</v>
      </c>
      <c r="K146" s="12">
        <v>48.0</v>
      </c>
      <c r="L146" s="12">
        <v>-49.0</v>
      </c>
      <c r="M146" s="12">
        <v>3.0</v>
      </c>
      <c r="N146" s="12" t="s">
        <v>54</v>
      </c>
      <c r="O146" s="12">
        <f t="shared" si="1"/>
        <v>7</v>
      </c>
      <c r="P146" s="14">
        <v>2.59181</v>
      </c>
      <c r="Q146" s="14">
        <v>2.438993</v>
      </c>
      <c r="R146" s="14">
        <v>-0.15282</v>
      </c>
      <c r="S146" s="12">
        <v>66.0</v>
      </c>
      <c r="T146" s="12" t="s">
        <v>28</v>
      </c>
      <c r="U146" s="12" t="s">
        <v>27</v>
      </c>
      <c r="V146" s="12" t="str">
        <f t="shared" si="131"/>
        <v>Jorge Luis Chaib De Leónpara 3 yardas, 2do down</v>
      </c>
      <c r="W146" s="10">
        <f t="shared" ref="W146:X146" si="135">W145</f>
        <v>23</v>
      </c>
      <c r="X146" s="10">
        <f t="shared" si="135"/>
        <v>33</v>
      </c>
      <c r="Y146" s="12"/>
      <c r="Z146" s="12"/>
      <c r="AA146" s="12"/>
      <c r="AB146" s="12"/>
      <c r="AC146" s="12"/>
      <c r="AD146" s="12"/>
    </row>
    <row r="147" ht="14.25" customHeight="1">
      <c r="A147" s="11">
        <v>4.0</v>
      </c>
      <c r="B147" s="12" t="s">
        <v>26</v>
      </c>
      <c r="C147" s="12">
        <v>10.0</v>
      </c>
      <c r="D147" s="11" t="s">
        <v>34</v>
      </c>
      <c r="E147" s="12" t="s">
        <v>26</v>
      </c>
      <c r="F147" s="12">
        <v>26.0</v>
      </c>
      <c r="G147" s="12" t="s">
        <v>229</v>
      </c>
      <c r="H147" s="12" t="s">
        <v>38</v>
      </c>
      <c r="I147" s="12" t="s">
        <v>58</v>
      </c>
      <c r="J147" s="12">
        <f t="shared" ref="J147:J150" si="137">J146-M146</f>
        <v>7</v>
      </c>
      <c r="K147" s="12">
        <v>-49.0</v>
      </c>
      <c r="L147" s="12">
        <v>-44.0</v>
      </c>
      <c r="M147" s="12">
        <v>5.0</v>
      </c>
      <c r="N147" s="12" t="s">
        <v>64</v>
      </c>
      <c r="O147" s="12">
        <f t="shared" si="1"/>
        <v>2</v>
      </c>
      <c r="P147" s="14">
        <v>2.438993</v>
      </c>
      <c r="Q147" s="14">
        <v>2.548495</v>
      </c>
      <c r="R147" s="14">
        <v>0.109502</v>
      </c>
      <c r="S147" s="12">
        <v>2.0</v>
      </c>
      <c r="T147" s="12" t="s">
        <v>28</v>
      </c>
      <c r="U147" s="12" t="s">
        <v>86</v>
      </c>
      <c r="V147" s="12" t="str">
        <f t="shared" si="131"/>
        <v>Cruz Alberto Rodríguez Garcíapara 5 yardas, 3er down</v>
      </c>
      <c r="W147" s="10">
        <f t="shared" ref="W147:X147" si="136">W146</f>
        <v>23</v>
      </c>
      <c r="X147" s="10">
        <f t="shared" si="136"/>
        <v>33</v>
      </c>
      <c r="Y147" s="12"/>
      <c r="Z147" s="12"/>
      <c r="AA147" s="12"/>
      <c r="AB147" s="12"/>
      <c r="AC147" s="12"/>
      <c r="AD147" s="12"/>
    </row>
    <row r="148" ht="14.25" customHeight="1">
      <c r="A148" s="11">
        <v>4.0</v>
      </c>
      <c r="B148" s="12" t="s">
        <v>26</v>
      </c>
      <c r="C148" s="12" t="s">
        <v>27</v>
      </c>
      <c r="D148" s="12" t="s">
        <v>27</v>
      </c>
      <c r="E148" s="12" t="s">
        <v>26</v>
      </c>
      <c r="F148" s="12" t="s">
        <v>27</v>
      </c>
      <c r="G148" s="12" t="s">
        <v>27</v>
      </c>
      <c r="H148" s="12" t="s">
        <v>106</v>
      </c>
      <c r="I148" s="12" t="s">
        <v>69</v>
      </c>
      <c r="J148" s="12">
        <f t="shared" si="137"/>
        <v>2</v>
      </c>
      <c r="K148" s="12">
        <v>-44.0</v>
      </c>
      <c r="L148" s="12">
        <v>-49.0</v>
      </c>
      <c r="M148" s="12">
        <v>-5.0</v>
      </c>
      <c r="N148" s="12" t="s">
        <v>64</v>
      </c>
      <c r="O148" s="12">
        <f t="shared" si="1"/>
        <v>7</v>
      </c>
      <c r="P148" s="14">
        <v>2.548495</v>
      </c>
      <c r="Q148" s="14">
        <v>1.68375</v>
      </c>
      <c r="R148" s="14">
        <v>-0.86474</v>
      </c>
      <c r="S148" s="12" t="s">
        <v>27</v>
      </c>
      <c r="T148" s="12" t="s">
        <v>27</v>
      </c>
      <c r="U148" s="12" t="s">
        <v>27</v>
      </c>
      <c r="V148" s="12" t="str">
        <f>H148 &amp; ", " &amp; M148 &amp; " yardas"</f>
        <v>Castigo a la ofensiva, -5 yardas</v>
      </c>
      <c r="W148" s="10">
        <f t="shared" ref="W148:X148" si="138">W147</f>
        <v>23</v>
      </c>
      <c r="X148" s="10">
        <f t="shared" si="138"/>
        <v>33</v>
      </c>
      <c r="Y148" s="12"/>
      <c r="Z148" s="12"/>
      <c r="AA148" s="12"/>
      <c r="AB148" s="12"/>
      <c r="AC148" s="12"/>
      <c r="AD148" s="12"/>
    </row>
    <row r="149" ht="14.25" customHeight="1">
      <c r="A149" s="11">
        <v>4.0</v>
      </c>
      <c r="B149" s="12" t="s">
        <v>26</v>
      </c>
      <c r="C149" s="12">
        <v>10.0</v>
      </c>
      <c r="D149" s="11" t="s">
        <v>34</v>
      </c>
      <c r="E149" s="12" t="s">
        <v>28</v>
      </c>
      <c r="F149" s="12">
        <v>7.0</v>
      </c>
      <c r="G149" s="12" t="s">
        <v>231</v>
      </c>
      <c r="H149" s="12" t="s">
        <v>68</v>
      </c>
      <c r="I149" s="12" t="s">
        <v>69</v>
      </c>
      <c r="J149" s="12">
        <f t="shared" si="137"/>
        <v>7</v>
      </c>
      <c r="K149" s="12">
        <v>-49.0</v>
      </c>
      <c r="L149" s="12">
        <v>49.0</v>
      </c>
      <c r="M149" s="12">
        <v>-2.0</v>
      </c>
      <c r="N149" s="12" t="s">
        <v>70</v>
      </c>
      <c r="O149" s="12">
        <f t="shared" si="1"/>
        <v>9</v>
      </c>
      <c r="P149" s="14">
        <v>1.68375</v>
      </c>
      <c r="Q149" s="14">
        <v>-0.00828</v>
      </c>
      <c r="R149" s="14">
        <v>-1.69203</v>
      </c>
      <c r="S149" s="12" t="s">
        <v>27</v>
      </c>
      <c r="T149" s="12" t="s">
        <v>27</v>
      </c>
      <c r="U149" s="12" t="s">
        <v>27</v>
      </c>
      <c r="V149" s="12" t="str">
        <f>D149 &amp; "capturado por " &amp; G149</f>
        <v>Sergio Resendiz capturado por Mikel Exal Delgado Saenz</v>
      </c>
      <c r="W149" s="10">
        <f t="shared" ref="W149:X149" si="139">W148</f>
        <v>23</v>
      </c>
      <c r="X149" s="10">
        <f t="shared" si="139"/>
        <v>33</v>
      </c>
      <c r="Y149" s="12"/>
      <c r="Z149" s="12"/>
      <c r="AA149" s="12"/>
      <c r="AB149" s="12"/>
      <c r="AC149" s="12"/>
      <c r="AD149" s="12"/>
    </row>
    <row r="150" ht="14.25" customHeight="1">
      <c r="A150" s="11">
        <v>4.0</v>
      </c>
      <c r="B150" s="12" t="s">
        <v>26</v>
      </c>
      <c r="C150" s="12">
        <v>8.0</v>
      </c>
      <c r="D150" s="12" t="s">
        <v>233</v>
      </c>
      <c r="E150" s="12" t="s">
        <v>26</v>
      </c>
      <c r="F150" s="12">
        <v>8.0</v>
      </c>
      <c r="G150" s="11" t="s">
        <v>119</v>
      </c>
      <c r="H150" s="12" t="s">
        <v>38</v>
      </c>
      <c r="I150" s="12" t="s">
        <v>74</v>
      </c>
      <c r="J150" s="12">
        <f t="shared" si="137"/>
        <v>9</v>
      </c>
      <c r="K150" s="12">
        <v>49.0</v>
      </c>
      <c r="L150" s="12">
        <v>-45.0</v>
      </c>
      <c r="M150" s="12">
        <v>6.0</v>
      </c>
      <c r="N150" s="12" t="s">
        <v>194</v>
      </c>
      <c r="O150" s="12">
        <f t="shared" si="1"/>
        <v>10</v>
      </c>
      <c r="P150" s="14">
        <v>-0.00828</v>
      </c>
      <c r="Q150" s="14">
        <v>-2.387414</v>
      </c>
      <c r="R150" s="14">
        <f>Q150-P150</f>
        <v>-2.379134</v>
      </c>
      <c r="S150" s="12">
        <v>48.0</v>
      </c>
      <c r="T150" s="12" t="s">
        <v>28</v>
      </c>
      <c r="U150" s="12" t="s">
        <v>234</v>
      </c>
      <c r="V150" s="12" t="str">
        <f>G150 &amp; "para " &amp; M150 &amp; " yardas, " &amp; N150</f>
        <v>Luis Ángel Olvera para 6 yardas, Cambio posesión</v>
      </c>
      <c r="W150" s="10">
        <f t="shared" ref="W150:X150" si="140">W149</f>
        <v>23</v>
      </c>
      <c r="X150" s="10">
        <f t="shared" si="140"/>
        <v>33</v>
      </c>
      <c r="Y150" s="12"/>
      <c r="Z150" s="12"/>
      <c r="AA150" s="12"/>
      <c r="AB150" s="12"/>
      <c r="AC150" s="12"/>
      <c r="AD150" s="12"/>
    </row>
    <row r="151" ht="14.25" customHeight="1">
      <c r="A151" s="11">
        <v>4.0</v>
      </c>
      <c r="B151" s="12" t="s">
        <v>28</v>
      </c>
      <c r="C151" s="12" t="s">
        <v>27</v>
      </c>
      <c r="D151" s="12" t="s">
        <v>27</v>
      </c>
      <c r="E151" s="12" t="s">
        <v>28</v>
      </c>
      <c r="F151" s="12" t="s">
        <v>27</v>
      </c>
      <c r="G151" s="12" t="s">
        <v>27</v>
      </c>
      <c r="H151" s="12" t="s">
        <v>106</v>
      </c>
      <c r="I151" s="12" t="s">
        <v>39</v>
      </c>
      <c r="J151" s="10">
        <v>10.0</v>
      </c>
      <c r="K151" s="12">
        <v>45.0</v>
      </c>
      <c r="L151" s="12">
        <v>40.0</v>
      </c>
      <c r="M151" s="12">
        <v>-5.0</v>
      </c>
      <c r="N151" s="12" t="s">
        <v>48</v>
      </c>
      <c r="O151" s="12">
        <f t="shared" si="1"/>
        <v>15</v>
      </c>
      <c r="P151" s="14">
        <v>2.387414</v>
      </c>
      <c r="Q151" s="14">
        <v>1.889241</v>
      </c>
      <c r="R151" s="14">
        <v>-0.49817</v>
      </c>
      <c r="S151" s="12" t="s">
        <v>27</v>
      </c>
      <c r="T151" s="12" t="s">
        <v>27</v>
      </c>
      <c r="U151" s="12" t="s">
        <v>27</v>
      </c>
      <c r="V151" s="12" t="str">
        <f t="shared" ref="V151:V152" si="142">H151 &amp; ", " &amp; M151 &amp; " yardas"</f>
        <v>Castigo a la ofensiva, -5 yardas</v>
      </c>
      <c r="W151" s="10">
        <f t="shared" ref="W151:X151" si="141">W150</f>
        <v>23</v>
      </c>
      <c r="X151" s="10">
        <f t="shared" si="141"/>
        <v>33</v>
      </c>
      <c r="Y151" s="12"/>
      <c r="Z151" s="12"/>
      <c r="AA151" s="12"/>
      <c r="AB151" s="12"/>
      <c r="AC151" s="12"/>
      <c r="AD151" s="12"/>
    </row>
    <row r="152" ht="14.25" customHeight="1">
      <c r="A152" s="11">
        <v>4.0</v>
      </c>
      <c r="B152" s="12" t="s">
        <v>28</v>
      </c>
      <c r="C152" s="12" t="s">
        <v>27</v>
      </c>
      <c r="D152" s="12" t="s">
        <v>27</v>
      </c>
      <c r="E152" s="12" t="s">
        <v>28</v>
      </c>
      <c r="F152" s="12" t="s">
        <v>27</v>
      </c>
      <c r="G152" s="12" t="s">
        <v>27</v>
      </c>
      <c r="H152" s="12" t="s">
        <v>106</v>
      </c>
      <c r="I152" s="12" t="s">
        <v>39</v>
      </c>
      <c r="J152" s="12">
        <f t="shared" ref="J152:J156" si="144">J151-M151</f>
        <v>15</v>
      </c>
      <c r="K152" s="12">
        <v>40.0</v>
      </c>
      <c r="L152" s="12">
        <v>35.0</v>
      </c>
      <c r="M152" s="12">
        <v>-5.0</v>
      </c>
      <c r="N152" s="12" t="s">
        <v>48</v>
      </c>
      <c r="O152" s="12">
        <f t="shared" si="1"/>
        <v>20</v>
      </c>
      <c r="P152" s="14">
        <v>1.889241</v>
      </c>
      <c r="Q152" s="14">
        <v>1.413456</v>
      </c>
      <c r="R152" s="14">
        <v>-0.47578</v>
      </c>
      <c r="S152" s="12" t="s">
        <v>27</v>
      </c>
      <c r="T152" s="12" t="s">
        <v>27</v>
      </c>
      <c r="U152" s="12" t="s">
        <v>27</v>
      </c>
      <c r="V152" s="12" t="str">
        <f t="shared" si="142"/>
        <v>Castigo a la ofensiva, -5 yardas</v>
      </c>
      <c r="W152" s="10">
        <f t="shared" ref="W152:X152" si="143">W151</f>
        <v>23</v>
      </c>
      <c r="X152" s="10">
        <f t="shared" si="143"/>
        <v>33</v>
      </c>
      <c r="Y152" s="12"/>
      <c r="Z152" s="12"/>
      <c r="AA152" s="12"/>
      <c r="AB152" s="12"/>
      <c r="AC152" s="12"/>
      <c r="AD152" s="12"/>
    </row>
    <row r="153" ht="14.25" customHeight="1">
      <c r="A153" s="11">
        <v>4.0</v>
      </c>
      <c r="B153" s="12" t="s">
        <v>28</v>
      </c>
      <c r="C153" s="12">
        <v>15.0</v>
      </c>
      <c r="D153" s="11" t="s">
        <v>51</v>
      </c>
      <c r="E153" s="12" t="s">
        <v>28</v>
      </c>
      <c r="F153" s="12">
        <v>4.0</v>
      </c>
      <c r="G153" s="11" t="s">
        <v>52</v>
      </c>
      <c r="H153" s="12" t="s">
        <v>117</v>
      </c>
      <c r="I153" s="12" t="s">
        <v>39</v>
      </c>
      <c r="J153" s="12">
        <f t="shared" si="144"/>
        <v>20</v>
      </c>
      <c r="K153" s="12">
        <v>35.0</v>
      </c>
      <c r="L153" s="12">
        <v>35.0</v>
      </c>
      <c r="M153" s="12">
        <v>0.0</v>
      </c>
      <c r="N153" s="12" t="s">
        <v>54</v>
      </c>
      <c r="O153" s="12">
        <f t="shared" si="1"/>
        <v>20</v>
      </c>
      <c r="P153" s="14">
        <v>1.413456</v>
      </c>
      <c r="Q153" s="14">
        <v>0.799963</v>
      </c>
      <c r="R153" s="14">
        <v>-0.61349</v>
      </c>
      <c r="S153" s="12" t="s">
        <v>27</v>
      </c>
      <c r="T153" s="12" t="s">
        <v>27</v>
      </c>
      <c r="U153" s="12" t="s">
        <v>27</v>
      </c>
      <c r="V153" s="12" t="str">
        <f>D153 &amp; H153 &amp; " intencionado para " &amp; G153</f>
        <v>Fernando Sarabia Pase incompleto intencionado para Víctor Palacios </v>
      </c>
      <c r="W153" s="10">
        <f t="shared" ref="W153:X153" si="145">W152</f>
        <v>23</v>
      </c>
      <c r="X153" s="10">
        <f t="shared" si="145"/>
        <v>33</v>
      </c>
      <c r="Y153" s="12"/>
      <c r="Z153" s="12"/>
      <c r="AA153" s="12"/>
      <c r="AB153" s="12"/>
      <c r="AC153" s="12"/>
      <c r="AD153" s="12"/>
    </row>
    <row r="154" ht="14.25" customHeight="1">
      <c r="A154" s="11">
        <v>4.0</v>
      </c>
      <c r="B154" s="12" t="s">
        <v>28</v>
      </c>
      <c r="C154" s="12">
        <v>15.0</v>
      </c>
      <c r="D154" s="11" t="s">
        <v>51</v>
      </c>
      <c r="E154" s="12" t="s">
        <v>28</v>
      </c>
      <c r="F154" s="12">
        <v>15.0</v>
      </c>
      <c r="G154" s="11" t="s">
        <v>51</v>
      </c>
      <c r="H154" s="12" t="s">
        <v>38</v>
      </c>
      <c r="I154" s="12" t="s">
        <v>58</v>
      </c>
      <c r="J154" s="12">
        <f t="shared" si="144"/>
        <v>20</v>
      </c>
      <c r="K154" s="12">
        <v>35.0</v>
      </c>
      <c r="L154" s="12">
        <v>47.0</v>
      </c>
      <c r="M154" s="12">
        <v>12.0</v>
      </c>
      <c r="N154" s="12" t="s">
        <v>64</v>
      </c>
      <c r="O154" s="12">
        <f t="shared" si="1"/>
        <v>8</v>
      </c>
      <c r="P154" s="14">
        <v>0.799963</v>
      </c>
      <c r="Q154" s="14">
        <v>1.345909</v>
      </c>
      <c r="R154" s="14">
        <v>0.545945</v>
      </c>
      <c r="S154" s="12">
        <v>43.0</v>
      </c>
      <c r="T154" s="12" t="s">
        <v>26</v>
      </c>
      <c r="U154" s="12" t="s">
        <v>236</v>
      </c>
      <c r="V154" s="12" t="str">
        <f>G154 &amp; "para " &amp; M154 &amp; " yardas, " &amp; N154</f>
        <v>Fernando Sarabia para 12 yardas, 3er down</v>
      </c>
      <c r="W154" s="10">
        <f t="shared" ref="W154:X154" si="146">W153</f>
        <v>23</v>
      </c>
      <c r="X154" s="10">
        <f t="shared" si="146"/>
        <v>33</v>
      </c>
      <c r="Y154" s="12"/>
      <c r="Z154" s="12"/>
      <c r="AA154" s="12"/>
      <c r="AB154" s="12"/>
      <c r="AC154" s="12"/>
      <c r="AD154" s="12"/>
    </row>
    <row r="155" ht="14.25" customHeight="1">
      <c r="A155" s="11">
        <v>4.0</v>
      </c>
      <c r="B155" s="12" t="s">
        <v>28</v>
      </c>
      <c r="C155" s="12">
        <v>15.0</v>
      </c>
      <c r="D155" s="11" t="s">
        <v>51</v>
      </c>
      <c r="E155" s="12" t="s">
        <v>26</v>
      </c>
      <c r="F155" s="12">
        <v>35.0</v>
      </c>
      <c r="G155" s="12" t="s">
        <v>55</v>
      </c>
      <c r="H155" s="12" t="s">
        <v>68</v>
      </c>
      <c r="I155" s="12" t="s">
        <v>69</v>
      </c>
      <c r="J155" s="12">
        <f t="shared" si="144"/>
        <v>8</v>
      </c>
      <c r="K155" s="12">
        <v>47.0</v>
      </c>
      <c r="L155" s="12">
        <v>43.0</v>
      </c>
      <c r="M155" s="12">
        <v>-4.0</v>
      </c>
      <c r="N155" s="12" t="s">
        <v>70</v>
      </c>
      <c r="O155" s="12">
        <f t="shared" si="1"/>
        <v>12</v>
      </c>
      <c r="P155" s="14">
        <v>1.345909</v>
      </c>
      <c r="Q155" s="14">
        <v>-0.56666</v>
      </c>
      <c r="R155" s="14">
        <v>-1.91257</v>
      </c>
      <c r="S155" s="12" t="s">
        <v>27</v>
      </c>
      <c r="T155" s="12" t="s">
        <v>27</v>
      </c>
      <c r="U155" s="12" t="s">
        <v>27</v>
      </c>
      <c r="V155" s="12" t="str">
        <f>D155 &amp; "capturado por " &amp; G155</f>
        <v>Fernando Sarabia capturado por Juan Pablo Mandujano Castruita</v>
      </c>
      <c r="W155" s="10">
        <f t="shared" ref="W155:X155" si="147">W154</f>
        <v>23</v>
      </c>
      <c r="X155" s="10">
        <f t="shared" si="147"/>
        <v>33</v>
      </c>
      <c r="Y155" s="12"/>
      <c r="Z155" s="12"/>
      <c r="AA155" s="12"/>
      <c r="AB155" s="12"/>
      <c r="AC155" s="12"/>
      <c r="AD155" s="12"/>
    </row>
    <row r="156" ht="14.25" customHeight="1">
      <c r="A156" s="11">
        <v>4.0</v>
      </c>
      <c r="B156" s="12" t="s">
        <v>28</v>
      </c>
      <c r="C156" s="12">
        <v>15.0</v>
      </c>
      <c r="D156" s="11" t="s">
        <v>51</v>
      </c>
      <c r="E156" s="12" t="s">
        <v>28</v>
      </c>
      <c r="F156" s="12">
        <v>11.0</v>
      </c>
      <c r="G156" s="12" t="s">
        <v>110</v>
      </c>
      <c r="H156" s="12" t="s">
        <v>53</v>
      </c>
      <c r="I156" s="12" t="s">
        <v>74</v>
      </c>
      <c r="J156" s="12">
        <f t="shared" si="144"/>
        <v>12</v>
      </c>
      <c r="K156" s="12">
        <v>43.0</v>
      </c>
      <c r="L156" s="12">
        <v>0.0</v>
      </c>
      <c r="M156" s="12">
        <v>57.0</v>
      </c>
      <c r="N156" s="12" t="s">
        <v>40</v>
      </c>
      <c r="O156" s="12" t="str">
        <f t="shared" si="1"/>
        <v/>
      </c>
      <c r="P156" s="14">
        <v>-0.56666</v>
      </c>
      <c r="Q156" s="14">
        <v>7.0</v>
      </c>
      <c r="R156" s="14">
        <v>7.566657</v>
      </c>
      <c r="S156" s="12" t="s">
        <v>27</v>
      </c>
      <c r="T156" s="12" t="s">
        <v>27</v>
      </c>
      <c r="U156" s="12" t="s">
        <v>27</v>
      </c>
      <c r="V156" s="12" t="str">
        <f>D156 &amp; H156 &amp; " completo para " &amp;G156 &amp; "para " &amp; M156 &amp; " yardas" </f>
        <v>Fernando Sarabia Pase completo para Daniel Santos Guerrapara 57 yardas</v>
      </c>
      <c r="W156" s="10">
        <v>29.0</v>
      </c>
      <c r="X156" s="10">
        <f t="shared" ref="X156:X157" si="148">X155</f>
        <v>33</v>
      </c>
      <c r="Y156" s="12"/>
      <c r="Z156" s="12"/>
      <c r="AA156" s="12"/>
      <c r="AB156" s="12"/>
      <c r="AC156" s="12"/>
      <c r="AD156" s="12"/>
    </row>
    <row r="157" ht="14.25" customHeight="1">
      <c r="A157" s="11">
        <v>4.0</v>
      </c>
      <c r="B157" s="12" t="s">
        <v>28</v>
      </c>
      <c r="C157" s="12" t="s">
        <v>27</v>
      </c>
      <c r="D157" s="12" t="s">
        <v>27</v>
      </c>
      <c r="E157" s="12" t="s">
        <v>28</v>
      </c>
      <c r="F157" s="12">
        <v>28.0</v>
      </c>
      <c r="G157" s="11" t="s">
        <v>29</v>
      </c>
      <c r="H157" s="12" t="s">
        <v>43</v>
      </c>
      <c r="I157" s="12" t="s">
        <v>27</v>
      </c>
      <c r="J157" s="12"/>
      <c r="K157" s="12">
        <v>-10.0</v>
      </c>
      <c r="L157" s="12">
        <v>0.0</v>
      </c>
      <c r="M157" s="12">
        <v>20.0</v>
      </c>
      <c r="N157" s="12" t="s">
        <v>146</v>
      </c>
      <c r="O157" s="12" t="str">
        <f t="shared" si="1"/>
        <v/>
      </c>
      <c r="P157" s="15"/>
      <c r="Q157" s="15"/>
      <c r="R157" s="14">
        <v>0.0</v>
      </c>
      <c r="S157" s="12" t="s">
        <v>27</v>
      </c>
      <c r="T157" s="12" t="s">
        <v>27</v>
      </c>
      <c r="U157" s="12" t="s">
        <v>27</v>
      </c>
      <c r="V157" s="12" t="str">
        <f>G157 &amp; " " &amp; N157</f>
        <v>Roberto Medina PAT exitosa</v>
      </c>
      <c r="W157" s="10">
        <v>30.0</v>
      </c>
      <c r="X157" s="10">
        <f t="shared" si="148"/>
        <v>33</v>
      </c>
      <c r="Y157" s="12"/>
      <c r="Z157" s="12"/>
      <c r="AA157" s="12"/>
      <c r="AB157" s="12"/>
      <c r="AC157" s="12"/>
      <c r="AD157" s="12"/>
    </row>
    <row r="158" ht="14.25" customHeight="1">
      <c r="A158" s="11">
        <v>4.0</v>
      </c>
      <c r="B158" s="12" t="s">
        <v>28</v>
      </c>
      <c r="C158" s="12" t="s">
        <v>27</v>
      </c>
      <c r="D158" s="12" t="s">
        <v>27</v>
      </c>
      <c r="E158" s="12" t="s">
        <v>28</v>
      </c>
      <c r="F158" s="12">
        <v>28.0</v>
      </c>
      <c r="G158" s="11" t="s">
        <v>29</v>
      </c>
      <c r="H158" s="12" t="s">
        <v>31</v>
      </c>
      <c r="I158" s="12" t="s">
        <v>27</v>
      </c>
      <c r="J158" s="12"/>
      <c r="K158" s="12">
        <v>35.0</v>
      </c>
      <c r="L158" s="12">
        <v>0.0</v>
      </c>
      <c r="M158" s="12">
        <v>65.0</v>
      </c>
      <c r="N158" s="12" t="s">
        <v>32</v>
      </c>
      <c r="O158" s="12">
        <f t="shared" si="1"/>
        <v>10</v>
      </c>
      <c r="P158" s="13">
        <v>0.0</v>
      </c>
      <c r="Q158" s="14">
        <v>0.884959</v>
      </c>
      <c r="R158" s="14">
        <f>Q158-P158</f>
        <v>0.884959</v>
      </c>
      <c r="S158" s="12" t="s">
        <v>27</v>
      </c>
      <c r="T158" s="12" t="s">
        <v>27</v>
      </c>
      <c r="U158" s="12" t="s">
        <v>27</v>
      </c>
      <c r="V158" s="12" t="str">
        <f>G158 &amp; " kicks off " &amp; M158 &amp; " yardas, " &amp; N158</f>
        <v>Roberto Medina kicks off 65 yardas, Touchback</v>
      </c>
      <c r="W158" s="10">
        <f t="shared" ref="W158:X158" si="149">W157</f>
        <v>30</v>
      </c>
      <c r="X158" s="10">
        <f t="shared" si="149"/>
        <v>33</v>
      </c>
      <c r="Y158" s="12"/>
      <c r="Z158" s="12"/>
      <c r="AA158" s="12"/>
      <c r="AB158" s="12"/>
      <c r="AC158" s="12"/>
      <c r="AD158" s="12"/>
    </row>
    <row r="159" ht="14.25" customHeight="1">
      <c r="A159" s="11">
        <v>4.0</v>
      </c>
      <c r="B159" s="12" t="s">
        <v>26</v>
      </c>
      <c r="C159" s="12">
        <v>10.0</v>
      </c>
      <c r="D159" s="11" t="s">
        <v>34</v>
      </c>
      <c r="E159" s="12" t="s">
        <v>26</v>
      </c>
      <c r="F159" s="12">
        <v>31.0</v>
      </c>
      <c r="G159" s="11" t="s">
        <v>35</v>
      </c>
      <c r="H159" s="12" t="s">
        <v>38</v>
      </c>
      <c r="I159" s="12" t="s">
        <v>39</v>
      </c>
      <c r="J159" s="10">
        <v>10.0</v>
      </c>
      <c r="K159" s="12">
        <v>25.0</v>
      </c>
      <c r="L159" s="12">
        <v>28.0</v>
      </c>
      <c r="M159" s="12">
        <v>3.0</v>
      </c>
      <c r="N159" s="12" t="s">
        <v>54</v>
      </c>
      <c r="O159" s="12">
        <f t="shared" si="1"/>
        <v>7</v>
      </c>
      <c r="P159" s="14">
        <v>0.884959</v>
      </c>
      <c r="Q159" s="14">
        <v>0.664532</v>
      </c>
      <c r="R159" s="14">
        <v>-0.22043</v>
      </c>
      <c r="S159" s="12">
        <v>6.0</v>
      </c>
      <c r="T159" s="12" t="s">
        <v>28</v>
      </c>
      <c r="U159" s="12" t="s">
        <v>227</v>
      </c>
      <c r="V159" s="12" t="str">
        <f t="shared" ref="V159:V161" si="151">G159 &amp; "para " &amp; M159 &amp; " yardas, " &amp; N159</f>
        <v>Ángel Alvarado para 3 yardas, 2do down</v>
      </c>
      <c r="W159" s="10">
        <f t="shared" ref="W159:X159" si="150">W158</f>
        <v>30</v>
      </c>
      <c r="X159" s="10">
        <f t="shared" si="150"/>
        <v>33</v>
      </c>
      <c r="Y159" s="12"/>
      <c r="Z159" s="12"/>
      <c r="AA159" s="12"/>
      <c r="AB159" s="12"/>
      <c r="AC159" s="12"/>
      <c r="AD159" s="12"/>
    </row>
    <row r="160" ht="14.25" customHeight="1">
      <c r="A160" s="11">
        <v>4.0</v>
      </c>
      <c r="B160" s="12" t="s">
        <v>26</v>
      </c>
      <c r="C160" s="12">
        <v>10.0</v>
      </c>
      <c r="D160" s="11" t="s">
        <v>34</v>
      </c>
      <c r="E160" s="12" t="s">
        <v>26</v>
      </c>
      <c r="F160" s="12">
        <v>31.0</v>
      </c>
      <c r="G160" s="11" t="s">
        <v>35</v>
      </c>
      <c r="H160" s="12" t="s">
        <v>38</v>
      </c>
      <c r="I160" s="12" t="s">
        <v>58</v>
      </c>
      <c r="J160" s="12">
        <f t="shared" ref="J160:J162" si="153">J159-M159</f>
        <v>7</v>
      </c>
      <c r="K160" s="12">
        <v>28.0</v>
      </c>
      <c r="L160" s="12">
        <v>31.0</v>
      </c>
      <c r="M160" s="12">
        <v>3.0</v>
      </c>
      <c r="N160" s="12" t="s">
        <v>64</v>
      </c>
      <c r="O160" s="12">
        <f t="shared" si="1"/>
        <v>4</v>
      </c>
      <c r="P160" s="14">
        <v>0.664532</v>
      </c>
      <c r="Q160" s="14">
        <v>0.391952</v>
      </c>
      <c r="R160" s="14">
        <v>-0.27258</v>
      </c>
      <c r="S160" s="12">
        <v>72.0</v>
      </c>
      <c r="T160" s="12" t="s">
        <v>28</v>
      </c>
      <c r="U160" s="12" t="s">
        <v>83</v>
      </c>
      <c r="V160" s="12" t="str">
        <f t="shared" si="151"/>
        <v>Ángel Alvarado para 3 yardas, 3er down</v>
      </c>
      <c r="W160" s="10">
        <f t="shared" ref="W160:X160" si="152">W159</f>
        <v>30</v>
      </c>
      <c r="X160" s="10">
        <f t="shared" si="152"/>
        <v>33</v>
      </c>
      <c r="Y160" s="12"/>
      <c r="Z160" s="12"/>
      <c r="AA160" s="12"/>
      <c r="AB160" s="12"/>
      <c r="AC160" s="12"/>
      <c r="AD160" s="12"/>
    </row>
    <row r="161" ht="14.25" customHeight="1">
      <c r="A161" s="11">
        <v>4.0</v>
      </c>
      <c r="B161" s="12" t="s">
        <v>26</v>
      </c>
      <c r="C161" s="12">
        <v>10.0</v>
      </c>
      <c r="D161" s="11" t="s">
        <v>34</v>
      </c>
      <c r="E161" s="12" t="s">
        <v>26</v>
      </c>
      <c r="F161" s="12">
        <v>31.0</v>
      </c>
      <c r="G161" s="11" t="s">
        <v>35</v>
      </c>
      <c r="H161" s="12" t="s">
        <v>38</v>
      </c>
      <c r="I161" s="12" t="s">
        <v>69</v>
      </c>
      <c r="J161" s="12">
        <f t="shared" si="153"/>
        <v>4</v>
      </c>
      <c r="K161" s="12">
        <v>31.0</v>
      </c>
      <c r="L161" s="12">
        <v>31.0</v>
      </c>
      <c r="M161" s="12">
        <v>0.0</v>
      </c>
      <c r="N161" s="12" t="s">
        <v>70</v>
      </c>
      <c r="O161" s="12">
        <f t="shared" si="1"/>
        <v>4</v>
      </c>
      <c r="P161" s="14">
        <v>0.391952</v>
      </c>
      <c r="Q161" s="14">
        <v>-1.17145</v>
      </c>
      <c r="R161" s="14">
        <v>-1.56341</v>
      </c>
      <c r="S161" s="12">
        <v>10.0</v>
      </c>
      <c r="T161" s="12" t="s">
        <v>28</v>
      </c>
      <c r="U161" s="12" t="s">
        <v>114</v>
      </c>
      <c r="V161" s="12" t="str">
        <f t="shared" si="151"/>
        <v>Ángel Alvarado para 0 yardas, 4to down</v>
      </c>
      <c r="W161" s="10">
        <f t="shared" ref="W161:X161" si="154">W160</f>
        <v>30</v>
      </c>
      <c r="X161" s="10">
        <f t="shared" si="154"/>
        <v>33</v>
      </c>
      <c r="Y161" s="12"/>
      <c r="Z161" s="12"/>
      <c r="AA161" s="12"/>
      <c r="AB161" s="12"/>
      <c r="AC161" s="12"/>
      <c r="AD161" s="12"/>
    </row>
    <row r="162" ht="14.25" customHeight="1">
      <c r="A162" s="11">
        <v>4.0</v>
      </c>
      <c r="B162" s="12" t="s">
        <v>26</v>
      </c>
      <c r="C162" s="12" t="s">
        <v>27</v>
      </c>
      <c r="D162" s="12" t="s">
        <v>27</v>
      </c>
      <c r="E162" s="12" t="s">
        <v>26</v>
      </c>
      <c r="F162" s="12">
        <v>8.0</v>
      </c>
      <c r="G162" s="11" t="s">
        <v>119</v>
      </c>
      <c r="H162" s="12" t="s">
        <v>73</v>
      </c>
      <c r="I162" s="12" t="s">
        <v>74</v>
      </c>
      <c r="J162" s="12">
        <f t="shared" si="153"/>
        <v>4</v>
      </c>
      <c r="K162" s="12">
        <v>18.0</v>
      </c>
      <c r="L162" s="12">
        <v>-32.0</v>
      </c>
      <c r="M162" s="12">
        <v>50.0</v>
      </c>
      <c r="N162" s="12" t="s">
        <v>75</v>
      </c>
      <c r="O162" s="12" t="str">
        <f t="shared" si="1"/>
        <v/>
      </c>
      <c r="P162" s="14">
        <v>-1.17145</v>
      </c>
      <c r="Q162" s="14">
        <v>-2.539039</v>
      </c>
      <c r="R162" s="14">
        <f>Q162-P162</f>
        <v>-1.367589</v>
      </c>
      <c r="S162" s="12" t="s">
        <v>27</v>
      </c>
      <c r="T162" s="12" t="s">
        <v>27</v>
      </c>
      <c r="U162" s="12" t="s">
        <v>27</v>
      </c>
      <c r="V162" s="12" t="str">
        <f>G162 &amp; H162 &amp; " " &amp; M162 &amp; " yardas, " &amp; N162</f>
        <v>Luis Ángel Olvera Punt 50 yardas, Recepción libre</v>
      </c>
      <c r="W162" s="10">
        <f t="shared" ref="W162:X162" si="155">W161</f>
        <v>30</v>
      </c>
      <c r="X162" s="10">
        <f t="shared" si="155"/>
        <v>33</v>
      </c>
      <c r="Y162" s="12"/>
      <c r="Z162" s="12"/>
      <c r="AA162" s="12"/>
      <c r="AB162" s="12"/>
      <c r="AC162" s="12"/>
      <c r="AD162" s="12"/>
    </row>
    <row r="163" ht="14.25" customHeight="1">
      <c r="A163" s="11">
        <v>4.0</v>
      </c>
      <c r="B163" s="12" t="s">
        <v>28</v>
      </c>
      <c r="C163" s="12" t="s">
        <v>27</v>
      </c>
      <c r="D163" s="12" t="s">
        <v>27</v>
      </c>
      <c r="E163" s="12" t="s">
        <v>26</v>
      </c>
      <c r="F163" s="12" t="s">
        <v>27</v>
      </c>
      <c r="G163" s="12" t="s">
        <v>27</v>
      </c>
      <c r="H163" s="12" t="s">
        <v>161</v>
      </c>
      <c r="I163" s="12" t="s">
        <v>27</v>
      </c>
      <c r="J163" s="12"/>
      <c r="K163" s="12">
        <v>32.0</v>
      </c>
      <c r="L163" s="12">
        <v>47.0</v>
      </c>
      <c r="M163" s="12">
        <v>15.0</v>
      </c>
      <c r="N163" s="12" t="s">
        <v>48</v>
      </c>
      <c r="O163" s="12">
        <f t="shared" si="1"/>
        <v>10</v>
      </c>
      <c r="P163" s="15"/>
      <c r="Q163" s="15"/>
      <c r="R163" s="14">
        <v>0.0</v>
      </c>
      <c r="S163" s="12" t="s">
        <v>27</v>
      </c>
      <c r="T163" s="12" t="s">
        <v>27</v>
      </c>
      <c r="U163" s="12" t="s">
        <v>27</v>
      </c>
      <c r="V163" s="12" t="str">
        <f>H163 &amp; ", " &amp; M163 &amp; " yardas"</f>
        <v>Castigo a la defensiva, 15 yardas</v>
      </c>
      <c r="W163" s="10">
        <f t="shared" ref="W163:X163" si="156">W162</f>
        <v>30</v>
      </c>
      <c r="X163" s="10">
        <f t="shared" si="156"/>
        <v>33</v>
      </c>
      <c r="Y163" s="12"/>
      <c r="Z163" s="12"/>
      <c r="AA163" s="12"/>
      <c r="AB163" s="12"/>
      <c r="AC163" s="12"/>
      <c r="AD163" s="12"/>
    </row>
    <row r="164" ht="14.25" customHeight="1">
      <c r="A164" s="11">
        <v>4.0</v>
      </c>
      <c r="B164" s="12" t="s">
        <v>28</v>
      </c>
      <c r="C164" s="12">
        <v>15.0</v>
      </c>
      <c r="D164" s="11" t="s">
        <v>51</v>
      </c>
      <c r="E164" s="12" t="s">
        <v>28</v>
      </c>
      <c r="F164" s="12">
        <v>23.0</v>
      </c>
      <c r="G164" s="11" t="s">
        <v>61</v>
      </c>
      <c r="H164" s="12" t="s">
        <v>53</v>
      </c>
      <c r="I164" s="12" t="s">
        <v>39</v>
      </c>
      <c r="J164" s="10">
        <v>10.0</v>
      </c>
      <c r="K164" s="12">
        <v>47.0</v>
      </c>
      <c r="L164" s="12">
        <v>-44.0</v>
      </c>
      <c r="M164" s="12">
        <v>9.0</v>
      </c>
      <c r="N164" s="12" t="s">
        <v>54</v>
      </c>
      <c r="O164" s="12">
        <f t="shared" si="1"/>
        <v>1</v>
      </c>
      <c r="P164" s="14">
        <v>2.539039</v>
      </c>
      <c r="Q164" s="14">
        <v>3.497478</v>
      </c>
      <c r="R164" s="14">
        <v>0.958439</v>
      </c>
      <c r="S164" s="12" t="s">
        <v>27</v>
      </c>
      <c r="T164" s="12" t="s">
        <v>27</v>
      </c>
      <c r="U164" s="12" t="s">
        <v>27</v>
      </c>
      <c r="V164" s="12" t="str">
        <f>D164 &amp; H164 &amp; " completo para " &amp;G164 &amp; "para " &amp; M164 &amp; " yardas" </f>
        <v>Fernando Sarabia Pase completo para Alejandro Cruz para 9 yardas</v>
      </c>
      <c r="W164" s="10">
        <f t="shared" ref="W164:X164" si="157">W163</f>
        <v>30</v>
      </c>
      <c r="X164" s="10">
        <f t="shared" si="157"/>
        <v>33</v>
      </c>
      <c r="Y164" s="12"/>
      <c r="Z164" s="12"/>
      <c r="AA164" s="12"/>
      <c r="AB164" s="12"/>
      <c r="AC164" s="12"/>
      <c r="AD164" s="12"/>
    </row>
    <row r="165" ht="14.25" customHeight="1">
      <c r="A165" s="11">
        <v>4.0</v>
      </c>
      <c r="B165" s="12" t="s">
        <v>28</v>
      </c>
      <c r="C165" s="12">
        <v>15.0</v>
      </c>
      <c r="D165" s="11" t="s">
        <v>51</v>
      </c>
      <c r="E165" s="12" t="s">
        <v>28</v>
      </c>
      <c r="F165" s="12">
        <v>23.0</v>
      </c>
      <c r="G165" s="11" t="s">
        <v>61</v>
      </c>
      <c r="H165" s="12" t="s">
        <v>38</v>
      </c>
      <c r="I165" s="12" t="s">
        <v>58</v>
      </c>
      <c r="J165" s="12">
        <f>J164-M164</f>
        <v>1</v>
      </c>
      <c r="K165" s="12">
        <v>-44.0</v>
      </c>
      <c r="L165" s="12">
        <v>-42.0</v>
      </c>
      <c r="M165" s="12">
        <v>2.0</v>
      </c>
      <c r="N165" s="12" t="s">
        <v>48</v>
      </c>
      <c r="O165" s="12">
        <f t="shared" si="1"/>
        <v>10</v>
      </c>
      <c r="P165" s="14">
        <v>3.497478</v>
      </c>
      <c r="Q165" s="14">
        <v>3.158878</v>
      </c>
      <c r="R165" s="14">
        <v>-0.3386</v>
      </c>
      <c r="S165" s="12">
        <v>47.0</v>
      </c>
      <c r="T165" s="12" t="s">
        <v>26</v>
      </c>
      <c r="U165" s="12" t="s">
        <v>59</v>
      </c>
      <c r="V165" s="12" t="str">
        <f>G165 &amp; "para " &amp; M165 &amp; " yardas, " &amp; N165</f>
        <v>Alejandro Cruz para 2 yardas, 1er down</v>
      </c>
      <c r="W165" s="10">
        <f t="shared" ref="W165:X165" si="158">W164</f>
        <v>30</v>
      </c>
      <c r="X165" s="10">
        <f t="shared" si="158"/>
        <v>33</v>
      </c>
      <c r="Y165" s="12"/>
      <c r="Z165" s="12"/>
      <c r="AA165" s="12"/>
      <c r="AB165" s="12"/>
      <c r="AC165" s="12"/>
      <c r="AD165" s="12"/>
    </row>
    <row r="166" ht="14.25" customHeight="1">
      <c r="A166" s="11">
        <v>4.0</v>
      </c>
      <c r="B166" s="12" t="s">
        <v>28</v>
      </c>
      <c r="C166" s="12">
        <v>15.0</v>
      </c>
      <c r="D166" s="11" t="s">
        <v>51</v>
      </c>
      <c r="E166" s="12" t="s">
        <v>28</v>
      </c>
      <c r="F166" s="12">
        <v>23.0</v>
      </c>
      <c r="G166" s="11" t="s">
        <v>61</v>
      </c>
      <c r="H166" s="12" t="s">
        <v>117</v>
      </c>
      <c r="I166" s="12" t="s">
        <v>39</v>
      </c>
      <c r="J166" s="10">
        <v>10.0</v>
      </c>
      <c r="K166" s="12">
        <v>-42.0</v>
      </c>
      <c r="L166" s="12">
        <v>-42.0</v>
      </c>
      <c r="M166" s="12">
        <v>0.0</v>
      </c>
      <c r="N166" s="12" t="s">
        <v>54</v>
      </c>
      <c r="O166" s="12">
        <f t="shared" si="1"/>
        <v>10</v>
      </c>
      <c r="P166" s="14">
        <v>3.158878</v>
      </c>
      <c r="Q166" s="14">
        <v>2.671807</v>
      </c>
      <c r="R166" s="14">
        <v>-0.48707</v>
      </c>
      <c r="S166" s="12" t="s">
        <v>27</v>
      </c>
      <c r="T166" s="12" t="s">
        <v>27</v>
      </c>
      <c r="U166" s="12" t="s">
        <v>27</v>
      </c>
      <c r="V166" s="12" t="str">
        <f>D166 &amp; H166 &amp; " intencionado para " &amp; G166</f>
        <v>Fernando Sarabia Pase incompleto intencionado para Alejandro Cruz </v>
      </c>
      <c r="W166" s="10">
        <f t="shared" ref="W166:X166" si="159">W165</f>
        <v>30</v>
      </c>
      <c r="X166" s="10">
        <f t="shared" si="159"/>
        <v>33</v>
      </c>
      <c r="Y166" s="12"/>
      <c r="Z166" s="12"/>
      <c r="AA166" s="12"/>
      <c r="AB166" s="12"/>
      <c r="AC166" s="12"/>
      <c r="AD166" s="12"/>
    </row>
    <row r="167" ht="14.25" customHeight="1">
      <c r="A167" s="11">
        <v>4.0</v>
      </c>
      <c r="B167" s="12" t="s">
        <v>28</v>
      </c>
      <c r="C167" s="12" t="s">
        <v>27</v>
      </c>
      <c r="D167" s="12" t="s">
        <v>27</v>
      </c>
      <c r="E167" s="12" t="s">
        <v>28</v>
      </c>
      <c r="F167" s="12" t="s">
        <v>27</v>
      </c>
      <c r="G167" s="12" t="s">
        <v>27</v>
      </c>
      <c r="H167" s="12" t="s">
        <v>106</v>
      </c>
      <c r="I167" s="12" t="s">
        <v>58</v>
      </c>
      <c r="J167" s="12">
        <f t="shared" ref="J167:J168" si="161">J166-M166</f>
        <v>10</v>
      </c>
      <c r="K167" s="12">
        <v>-42.0</v>
      </c>
      <c r="L167" s="12">
        <v>48.0</v>
      </c>
      <c r="M167" s="12">
        <v>-10.0</v>
      </c>
      <c r="N167" s="12" t="s">
        <v>54</v>
      </c>
      <c r="O167" s="12">
        <f t="shared" si="1"/>
        <v>20</v>
      </c>
      <c r="P167" s="14">
        <v>2.671807</v>
      </c>
      <c r="Q167" s="14">
        <v>1.733131</v>
      </c>
      <c r="R167" s="14">
        <v>-0.93868</v>
      </c>
      <c r="S167" s="12" t="s">
        <v>27</v>
      </c>
      <c r="T167" s="12" t="s">
        <v>27</v>
      </c>
      <c r="U167" s="12" t="s">
        <v>27</v>
      </c>
      <c r="V167" s="12" t="str">
        <f>H167 &amp; ", " &amp; M167 &amp; " yardas"</f>
        <v>Castigo a la ofensiva, -10 yardas</v>
      </c>
      <c r="W167" s="10">
        <f t="shared" ref="W167:X167" si="160">W166</f>
        <v>30</v>
      </c>
      <c r="X167" s="10">
        <f t="shared" si="160"/>
        <v>33</v>
      </c>
      <c r="Y167" s="12"/>
      <c r="Z167" s="12"/>
      <c r="AA167" s="12"/>
      <c r="AB167" s="12"/>
      <c r="AC167" s="12"/>
      <c r="AD167" s="12"/>
    </row>
    <row r="168" ht="14.25" customHeight="1">
      <c r="A168" s="11">
        <v>4.0</v>
      </c>
      <c r="B168" s="12" t="s">
        <v>28</v>
      </c>
      <c r="C168" s="12">
        <v>15.0</v>
      </c>
      <c r="D168" s="11" t="s">
        <v>51</v>
      </c>
      <c r="E168" s="12" t="s">
        <v>28</v>
      </c>
      <c r="F168" s="12">
        <v>82.0</v>
      </c>
      <c r="G168" s="11" t="s">
        <v>102</v>
      </c>
      <c r="H168" s="12" t="s">
        <v>53</v>
      </c>
      <c r="I168" s="12" t="s">
        <v>58</v>
      </c>
      <c r="J168" s="12">
        <f t="shared" si="161"/>
        <v>20</v>
      </c>
      <c r="K168" s="12">
        <v>48.0</v>
      </c>
      <c r="L168" s="12">
        <v>-26.0</v>
      </c>
      <c r="M168" s="12">
        <v>26.0</v>
      </c>
      <c r="N168" s="12" t="s">
        <v>48</v>
      </c>
      <c r="O168" s="12">
        <f t="shared" si="1"/>
        <v>10</v>
      </c>
      <c r="P168" s="14">
        <v>1.733131</v>
      </c>
      <c r="Q168" s="14">
        <v>3.8984</v>
      </c>
      <c r="R168" s="14">
        <v>2.165269</v>
      </c>
      <c r="S168" s="12">
        <v>4.0</v>
      </c>
      <c r="T168" s="12" t="s">
        <v>26</v>
      </c>
      <c r="U168" s="12" t="s">
        <v>243</v>
      </c>
      <c r="V168" s="12" t="str">
        <f t="shared" ref="V168:V169" si="163">D168 &amp; H168 &amp; " completo para " &amp;G168 &amp; "para " &amp; M168 &amp; " yardas" </f>
        <v>Fernando Sarabia Pase completo para Mauricio Santos para 26 yardas</v>
      </c>
      <c r="W168" s="10">
        <f t="shared" ref="W168:X168" si="162">W167</f>
        <v>30</v>
      </c>
      <c r="X168" s="10">
        <f t="shared" si="162"/>
        <v>33</v>
      </c>
      <c r="Y168" s="12"/>
      <c r="Z168" s="12"/>
      <c r="AA168" s="12"/>
      <c r="AB168" s="12"/>
      <c r="AC168" s="12"/>
      <c r="AD168" s="12"/>
    </row>
    <row r="169" ht="14.25" customHeight="1">
      <c r="A169" s="11">
        <v>4.0</v>
      </c>
      <c r="B169" s="12" t="s">
        <v>28</v>
      </c>
      <c r="C169" s="12">
        <v>15.0</v>
      </c>
      <c r="D169" s="11" t="s">
        <v>51</v>
      </c>
      <c r="E169" s="12" t="s">
        <v>28</v>
      </c>
      <c r="F169" s="12">
        <v>4.0</v>
      </c>
      <c r="G169" s="11" t="s">
        <v>52</v>
      </c>
      <c r="H169" s="12" t="s">
        <v>53</v>
      </c>
      <c r="I169" s="12" t="s">
        <v>39</v>
      </c>
      <c r="J169" s="10">
        <v>10.0</v>
      </c>
      <c r="K169" s="12">
        <v>-26.0</v>
      </c>
      <c r="L169" s="12">
        <v>-29.0</v>
      </c>
      <c r="M169" s="12">
        <v>-3.0</v>
      </c>
      <c r="N169" s="12" t="s">
        <v>54</v>
      </c>
      <c r="O169" s="12">
        <f t="shared" si="1"/>
        <v>13</v>
      </c>
      <c r="P169" s="14">
        <v>3.8984</v>
      </c>
      <c r="Q169" s="14">
        <v>3.41431</v>
      </c>
      <c r="R169" s="14">
        <v>-0.48409</v>
      </c>
      <c r="S169" s="12">
        <v>35.0</v>
      </c>
      <c r="T169" s="12" t="s">
        <v>26</v>
      </c>
      <c r="U169" s="12" t="s">
        <v>55</v>
      </c>
      <c r="V169" s="12" t="str">
        <f t="shared" si="163"/>
        <v>Fernando Sarabia Pase completo para Víctor Palacios para -3 yardas</v>
      </c>
      <c r="W169" s="10">
        <f t="shared" ref="W169:X169" si="164">W168</f>
        <v>30</v>
      </c>
      <c r="X169" s="10">
        <f t="shared" si="164"/>
        <v>33</v>
      </c>
      <c r="Y169" s="12"/>
      <c r="Z169" s="12"/>
      <c r="AA169" s="12"/>
      <c r="AB169" s="12"/>
      <c r="AC169" s="12"/>
      <c r="AD169" s="12"/>
    </row>
    <row r="170" ht="14.25" customHeight="1">
      <c r="A170" s="11">
        <v>4.0</v>
      </c>
      <c r="B170" s="12" t="s">
        <v>28</v>
      </c>
      <c r="C170" s="12">
        <v>15.0</v>
      </c>
      <c r="D170" s="11" t="s">
        <v>51</v>
      </c>
      <c r="E170" s="12" t="s">
        <v>26</v>
      </c>
      <c r="F170" s="12">
        <v>54.0</v>
      </c>
      <c r="G170" s="12" t="s">
        <v>246</v>
      </c>
      <c r="H170" s="12" t="s">
        <v>68</v>
      </c>
      <c r="I170" s="12" t="s">
        <v>58</v>
      </c>
      <c r="J170" s="12">
        <f t="shared" ref="J170:J172" si="166">J169-M169</f>
        <v>13</v>
      </c>
      <c r="K170" s="12">
        <v>-29.0</v>
      </c>
      <c r="L170" s="12">
        <v>-39.0</v>
      </c>
      <c r="M170" s="12">
        <v>-10.0</v>
      </c>
      <c r="N170" s="12" t="s">
        <v>64</v>
      </c>
      <c r="O170" s="12">
        <f t="shared" si="1"/>
        <v>23</v>
      </c>
      <c r="P170" s="14">
        <v>3.41431</v>
      </c>
      <c r="Q170" s="14">
        <v>1.705066</v>
      </c>
      <c r="R170" s="14">
        <v>-1.70924</v>
      </c>
      <c r="S170" s="12" t="s">
        <v>27</v>
      </c>
      <c r="T170" s="12" t="s">
        <v>27</v>
      </c>
      <c r="U170" s="12" t="s">
        <v>27</v>
      </c>
      <c r="V170" s="12" t="str">
        <f>D170 &amp; "capturado por " &amp; G170</f>
        <v>Fernando Sarabia capturado por Pablo Treviño Alvarado</v>
      </c>
      <c r="W170" s="10">
        <f t="shared" ref="W170:X170" si="165">W169</f>
        <v>30</v>
      </c>
      <c r="X170" s="10">
        <f t="shared" si="165"/>
        <v>33</v>
      </c>
      <c r="Y170" s="12"/>
      <c r="Z170" s="12"/>
      <c r="AA170" s="12"/>
      <c r="AB170" s="12"/>
      <c r="AC170" s="12"/>
      <c r="AD170" s="12"/>
    </row>
    <row r="171" ht="14.25" customHeight="1">
      <c r="A171" s="11">
        <v>4.0</v>
      </c>
      <c r="B171" s="12" t="s">
        <v>28</v>
      </c>
      <c r="C171" s="12">
        <v>15.0</v>
      </c>
      <c r="D171" s="11" t="s">
        <v>51</v>
      </c>
      <c r="E171" s="12" t="s">
        <v>28</v>
      </c>
      <c r="F171" s="12" t="s">
        <v>27</v>
      </c>
      <c r="G171" s="12" t="s">
        <v>27</v>
      </c>
      <c r="H171" s="12" t="s">
        <v>117</v>
      </c>
      <c r="I171" s="12" t="s">
        <v>69</v>
      </c>
      <c r="J171" s="12">
        <f t="shared" si="166"/>
        <v>23</v>
      </c>
      <c r="K171" s="12">
        <v>-39.0</v>
      </c>
      <c r="L171" s="12">
        <v>-39.0</v>
      </c>
      <c r="M171" s="12">
        <v>0.0</v>
      </c>
      <c r="N171" s="12" t="s">
        <v>70</v>
      </c>
      <c r="O171" s="12">
        <f t="shared" si="1"/>
        <v>23</v>
      </c>
      <c r="P171" s="14">
        <v>1.705066</v>
      </c>
      <c r="Q171" s="14">
        <v>0.987871</v>
      </c>
      <c r="R171" s="14">
        <v>-0.71719</v>
      </c>
      <c r="S171" s="12" t="s">
        <v>27</v>
      </c>
      <c r="T171" s="12" t="s">
        <v>27</v>
      </c>
      <c r="U171" s="12" t="s">
        <v>27</v>
      </c>
      <c r="V171" s="12" t="str">
        <f>D171 &amp; H171</f>
        <v>Fernando Sarabia Pase incompleto</v>
      </c>
      <c r="W171" s="10">
        <f t="shared" ref="W171:X171" si="167">W170</f>
        <v>30</v>
      </c>
      <c r="X171" s="10">
        <f t="shared" si="167"/>
        <v>33</v>
      </c>
      <c r="Y171" s="12"/>
      <c r="Z171" s="12"/>
      <c r="AA171" s="12"/>
      <c r="AB171" s="12"/>
      <c r="AC171" s="12"/>
      <c r="AD171" s="12"/>
    </row>
    <row r="172" ht="14.25" customHeight="1">
      <c r="A172" s="11">
        <v>4.0</v>
      </c>
      <c r="B172" s="12" t="s">
        <v>28</v>
      </c>
      <c r="C172" s="12" t="s">
        <v>27</v>
      </c>
      <c r="D172" s="12" t="s">
        <v>27</v>
      </c>
      <c r="E172" s="12" t="s">
        <v>28</v>
      </c>
      <c r="F172" s="12">
        <v>28.0</v>
      </c>
      <c r="G172" s="10" t="s">
        <v>176</v>
      </c>
      <c r="H172" s="12" t="s">
        <v>94</v>
      </c>
      <c r="I172" s="12" t="s">
        <v>74</v>
      </c>
      <c r="J172" s="12">
        <f t="shared" si="166"/>
        <v>23</v>
      </c>
      <c r="K172" s="12">
        <v>-46.0</v>
      </c>
      <c r="L172" s="12">
        <v>0.0</v>
      </c>
      <c r="M172" s="12">
        <v>46.0</v>
      </c>
      <c r="N172" s="10" t="s">
        <v>249</v>
      </c>
      <c r="O172" s="12">
        <f t="shared" si="1"/>
        <v>10</v>
      </c>
      <c r="P172" s="14">
        <v>0.987871</v>
      </c>
      <c r="Q172" s="14">
        <v>-1.990539</v>
      </c>
      <c r="R172" s="14">
        <f>Q172-P172</f>
        <v>-2.97841</v>
      </c>
      <c r="S172" s="12" t="s">
        <v>27</v>
      </c>
      <c r="T172" s="12" t="s">
        <v>27</v>
      </c>
      <c r="U172" s="12" t="s">
        <v>27</v>
      </c>
      <c r="V172" s="12" t="str">
        <f>G172 &amp; N172</f>
        <v>Roberto Medina FG fallado</v>
      </c>
      <c r="W172" s="10">
        <f t="shared" ref="W172:X172" si="168">W171</f>
        <v>30</v>
      </c>
      <c r="X172" s="10">
        <f t="shared" si="168"/>
        <v>33</v>
      </c>
      <c r="Y172" s="12"/>
      <c r="Z172" s="12"/>
      <c r="AA172" s="12"/>
      <c r="AB172" s="12"/>
      <c r="AC172" s="12"/>
      <c r="AD172" s="12"/>
    </row>
    <row r="173" ht="14.25" customHeight="1">
      <c r="A173" s="11">
        <v>4.0</v>
      </c>
      <c r="B173" s="12" t="s">
        <v>26</v>
      </c>
      <c r="C173" s="12" t="s">
        <v>27</v>
      </c>
      <c r="D173" s="12" t="s">
        <v>27</v>
      </c>
      <c r="E173" s="12" t="s">
        <v>26</v>
      </c>
      <c r="F173" s="12" t="s">
        <v>27</v>
      </c>
      <c r="G173" s="12" t="s">
        <v>27</v>
      </c>
      <c r="H173" s="12" t="s">
        <v>106</v>
      </c>
      <c r="I173" s="12" t="s">
        <v>39</v>
      </c>
      <c r="J173" s="10">
        <v>10.0</v>
      </c>
      <c r="K173" s="12">
        <v>39.0</v>
      </c>
      <c r="L173" s="12">
        <v>24.0</v>
      </c>
      <c r="M173" s="12">
        <v>-15.0</v>
      </c>
      <c r="N173" s="12" t="s">
        <v>48</v>
      </c>
      <c r="O173" s="12">
        <f t="shared" si="1"/>
        <v>10</v>
      </c>
      <c r="P173" s="14">
        <v>1.990539</v>
      </c>
      <c r="Q173" s="14">
        <v>0.806996</v>
      </c>
      <c r="R173" s="14">
        <v>-1.18354</v>
      </c>
      <c r="S173" s="12" t="s">
        <v>27</v>
      </c>
      <c r="T173" s="12" t="s">
        <v>27</v>
      </c>
      <c r="U173" s="12" t="s">
        <v>27</v>
      </c>
      <c r="V173" s="12" t="str">
        <f>H173 &amp; ", " &amp; M173 &amp; " yardas"</f>
        <v>Castigo a la ofensiva, -15 yardas</v>
      </c>
      <c r="W173" s="10">
        <f t="shared" ref="W173:X173" si="169">W172</f>
        <v>30</v>
      </c>
      <c r="X173" s="10">
        <f t="shared" si="169"/>
        <v>33</v>
      </c>
      <c r="Y173" s="12"/>
      <c r="Z173" s="12"/>
      <c r="AA173" s="12"/>
      <c r="AB173" s="12"/>
      <c r="AC173" s="12"/>
      <c r="AD173" s="12"/>
    </row>
    <row r="174" ht="14.25" customHeight="1">
      <c r="A174" s="11">
        <v>4.0</v>
      </c>
      <c r="B174" s="12" t="s">
        <v>26</v>
      </c>
      <c r="C174" s="12">
        <v>10.0</v>
      </c>
      <c r="D174" s="11" t="s">
        <v>34</v>
      </c>
      <c r="E174" s="12" t="s">
        <v>26</v>
      </c>
      <c r="F174" s="12">
        <v>10.0</v>
      </c>
      <c r="G174" s="11" t="s">
        <v>34</v>
      </c>
      <c r="H174" s="12" t="s">
        <v>251</v>
      </c>
      <c r="I174" s="12" t="s">
        <v>39</v>
      </c>
      <c r="J174" s="10">
        <v>10.0</v>
      </c>
      <c r="K174" s="12">
        <v>24.0</v>
      </c>
      <c r="L174" s="12">
        <v>24.0</v>
      </c>
      <c r="M174" s="12">
        <v>0.0</v>
      </c>
      <c r="N174" s="12" t="s">
        <v>54</v>
      </c>
      <c r="O174" s="12">
        <f t="shared" si="1"/>
        <v>10</v>
      </c>
      <c r="P174" s="14">
        <v>0.806996</v>
      </c>
      <c r="Q174" s="14">
        <v>0.171867</v>
      </c>
      <c r="R174" s="14">
        <v>-0.63513</v>
      </c>
      <c r="S174" s="12" t="s">
        <v>27</v>
      </c>
      <c r="T174" s="12" t="s">
        <v>27</v>
      </c>
      <c r="U174" s="12" t="s">
        <v>27</v>
      </c>
      <c r="V174" s="12" t="str">
        <f>G174 &amp; H174</f>
        <v>Sergio Resendiz Rodilla en el Piso</v>
      </c>
      <c r="W174" s="10">
        <f t="shared" ref="W174:X174" si="170">W173</f>
        <v>30</v>
      </c>
      <c r="X174" s="10">
        <f t="shared" si="170"/>
        <v>33</v>
      </c>
      <c r="Y174" s="12"/>
      <c r="Z174" s="12"/>
      <c r="AA174" s="12"/>
      <c r="AB174" s="12"/>
      <c r="AC174" s="12"/>
      <c r="AD174" s="12"/>
    </row>
    <row r="175" ht="14.25" customHeight="1">
      <c r="A175" s="11">
        <v>4.0</v>
      </c>
      <c r="B175" s="12" t="s">
        <v>26</v>
      </c>
      <c r="C175" s="12">
        <v>10.0</v>
      </c>
      <c r="D175" s="11" t="s">
        <v>34</v>
      </c>
      <c r="E175" s="12" t="s">
        <v>26</v>
      </c>
      <c r="F175" s="12">
        <v>10.0</v>
      </c>
      <c r="G175" s="11" t="s">
        <v>34</v>
      </c>
      <c r="H175" s="12" t="s">
        <v>251</v>
      </c>
      <c r="I175" s="12" t="s">
        <v>58</v>
      </c>
      <c r="J175" s="12">
        <f>J174-M174</f>
        <v>10</v>
      </c>
      <c r="K175" s="12">
        <v>24.0</v>
      </c>
      <c r="L175" s="12">
        <v>24.0</v>
      </c>
      <c r="M175" s="12">
        <v>0.0</v>
      </c>
      <c r="N175" s="12" t="s">
        <v>253</v>
      </c>
      <c r="O175" s="12" t="str">
        <f t="shared" si="1"/>
        <v/>
      </c>
      <c r="P175" s="15"/>
      <c r="Q175" s="15"/>
      <c r="R175" s="14">
        <v>0.0</v>
      </c>
      <c r="S175" s="12" t="s">
        <v>27</v>
      </c>
      <c r="T175" s="12" t="s">
        <v>27</v>
      </c>
      <c r="U175" s="12" t="s">
        <v>27</v>
      </c>
      <c r="V175" s="12" t="str">
        <f>G175 &amp; H175 &amp; ", " &amp; N175</f>
        <v>Sergio Resendiz Rodilla en el Piso, Fin del juego</v>
      </c>
      <c r="W175" s="10">
        <f t="shared" ref="W175:X175" si="171">W174</f>
        <v>30</v>
      </c>
      <c r="X175" s="10">
        <f t="shared" si="171"/>
        <v>33</v>
      </c>
      <c r="Y175" s="12"/>
      <c r="Z175" s="12"/>
      <c r="AA175" s="12"/>
      <c r="AB175" s="12"/>
      <c r="AC175" s="12"/>
      <c r="AD175" s="12"/>
    </row>
    <row r="176" ht="14.2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6"/>
      <c r="Q176" s="16"/>
      <c r="R176" s="16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</row>
    <row r="177" ht="14.2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6"/>
      <c r="Q177" s="16"/>
      <c r="R177" s="16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</row>
    <row r="178" ht="14.2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6"/>
      <c r="Q178" s="16"/>
      <c r="R178" s="16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</row>
    <row r="179" ht="14.2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6"/>
      <c r="Q179" s="16"/>
      <c r="R179" s="16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</row>
    <row r="180" ht="14.2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6"/>
      <c r="Q180" s="16"/>
      <c r="R180" s="16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</row>
    <row r="181" ht="14.2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6"/>
      <c r="Q181" s="16"/>
      <c r="R181" s="16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</row>
    <row r="182" ht="14.2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6"/>
      <c r="Q182" s="16"/>
      <c r="R182" s="16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</row>
    <row r="183" ht="14.2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6"/>
      <c r="Q183" s="16"/>
      <c r="R183" s="16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</row>
    <row r="184" ht="14.2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6"/>
      <c r="Q184" s="16"/>
      <c r="R184" s="16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</row>
    <row r="185" ht="14.2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6"/>
      <c r="Q185" s="16"/>
      <c r="R185" s="16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</row>
    <row r="186" ht="14.2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6"/>
      <c r="Q186" s="16"/>
      <c r="R186" s="16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</row>
    <row r="187" ht="14.2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6"/>
      <c r="Q187" s="16"/>
      <c r="R187" s="16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</row>
    <row r="188" ht="14.2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6"/>
      <c r="Q188" s="16"/>
      <c r="R188" s="16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</row>
    <row r="189" ht="14.2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6"/>
      <c r="Q189" s="16"/>
      <c r="R189" s="16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</row>
    <row r="190" ht="14.2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6"/>
      <c r="Q190" s="16"/>
      <c r="R190" s="16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</row>
    <row r="191" ht="14.2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6"/>
      <c r="Q191" s="16"/>
      <c r="R191" s="16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</row>
    <row r="192" ht="14.2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6"/>
      <c r="Q192" s="16"/>
      <c r="R192" s="16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</row>
    <row r="193" ht="14.2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6"/>
      <c r="Q193" s="16"/>
      <c r="R193" s="16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</row>
    <row r="194" ht="14.2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6"/>
      <c r="Q194" s="16"/>
      <c r="R194" s="16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</row>
    <row r="195" ht="14.2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6"/>
      <c r="Q195" s="16"/>
      <c r="R195" s="16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</row>
    <row r="196" ht="14.2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6"/>
      <c r="Q196" s="16"/>
      <c r="R196" s="16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</row>
    <row r="197" ht="14.2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6"/>
      <c r="Q197" s="16"/>
      <c r="R197" s="16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</row>
    <row r="198" ht="14.2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6"/>
      <c r="Q198" s="16"/>
      <c r="R198" s="16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</row>
    <row r="199" ht="14.2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6"/>
      <c r="Q199" s="16"/>
      <c r="R199" s="16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</row>
    <row r="200" ht="14.2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6"/>
      <c r="Q200" s="16"/>
      <c r="R200" s="16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</row>
    <row r="201" ht="14.2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6"/>
      <c r="Q201" s="16"/>
      <c r="R201" s="16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</row>
    <row r="202" ht="14.2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6"/>
      <c r="Q202" s="16"/>
      <c r="R202" s="16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</row>
    <row r="203" ht="14.2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6"/>
      <c r="Q203" s="16"/>
      <c r="R203" s="16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</row>
    <row r="204" ht="14.2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6"/>
      <c r="Q204" s="16"/>
      <c r="R204" s="16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</row>
    <row r="205" ht="14.2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6"/>
      <c r="Q205" s="16"/>
      <c r="R205" s="16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</row>
    <row r="206" ht="14.2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6"/>
      <c r="Q206" s="16"/>
      <c r="R206" s="16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</row>
    <row r="207" ht="14.2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6"/>
      <c r="Q207" s="16"/>
      <c r="R207" s="16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</row>
    <row r="208" ht="14.2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6"/>
      <c r="Q208" s="16"/>
      <c r="R208" s="16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</row>
    <row r="209" ht="14.2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6"/>
      <c r="Q209" s="16"/>
      <c r="R209" s="16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</row>
    <row r="210" ht="14.2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6"/>
      <c r="Q210" s="16"/>
      <c r="R210" s="16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</row>
    <row r="211" ht="14.2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6"/>
      <c r="Q211" s="16"/>
      <c r="R211" s="16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</row>
    <row r="212" ht="14.2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6"/>
      <c r="Q212" s="16"/>
      <c r="R212" s="16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</row>
    <row r="213" ht="14.2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6"/>
      <c r="Q213" s="16"/>
      <c r="R213" s="16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</row>
    <row r="214" ht="14.2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6"/>
      <c r="Q214" s="16"/>
      <c r="R214" s="16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</row>
    <row r="215" ht="14.2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6"/>
      <c r="Q215" s="16"/>
      <c r="R215" s="16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</row>
    <row r="216" ht="14.2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6"/>
      <c r="Q216" s="16"/>
      <c r="R216" s="16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</row>
    <row r="217" ht="14.2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6"/>
      <c r="Q217" s="16"/>
      <c r="R217" s="16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</row>
    <row r="218" ht="14.2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6"/>
      <c r="Q218" s="16"/>
      <c r="R218" s="16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</row>
    <row r="219" ht="14.2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6"/>
      <c r="Q219" s="16"/>
      <c r="R219" s="16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</row>
    <row r="220" ht="14.2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6"/>
      <c r="Q220" s="16"/>
      <c r="R220" s="16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</row>
    <row r="221" ht="14.2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6"/>
      <c r="Q221" s="16"/>
      <c r="R221" s="16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</row>
    <row r="222" ht="14.2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6"/>
      <c r="Q222" s="16"/>
      <c r="R222" s="16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</row>
    <row r="223" ht="14.2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6"/>
      <c r="Q223" s="16"/>
      <c r="R223" s="16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</row>
    <row r="224" ht="14.2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6"/>
      <c r="Q224" s="16"/>
      <c r="R224" s="16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</row>
    <row r="225" ht="14.2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6"/>
      <c r="Q225" s="16"/>
      <c r="R225" s="16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</row>
    <row r="226" ht="14.2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6"/>
      <c r="Q226" s="16"/>
      <c r="R226" s="16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</row>
    <row r="227" ht="14.2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6"/>
      <c r="Q227" s="16"/>
      <c r="R227" s="16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</row>
    <row r="228" ht="14.2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6"/>
      <c r="Q228" s="16"/>
      <c r="R228" s="16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</row>
    <row r="229" ht="14.2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6"/>
      <c r="Q229" s="16"/>
      <c r="R229" s="16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</row>
    <row r="230" ht="14.2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6"/>
      <c r="Q230" s="16"/>
      <c r="R230" s="16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</row>
    <row r="231" ht="14.2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6"/>
      <c r="Q231" s="16"/>
      <c r="R231" s="16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</row>
    <row r="232" ht="14.2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6"/>
      <c r="Q232" s="16"/>
      <c r="R232" s="16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</row>
    <row r="233" ht="14.2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6"/>
      <c r="Q233" s="16"/>
      <c r="R233" s="16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</row>
    <row r="234" ht="14.2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6"/>
      <c r="Q234" s="16"/>
      <c r="R234" s="16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</row>
    <row r="235" ht="14.2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6"/>
      <c r="Q235" s="16"/>
      <c r="R235" s="16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</row>
    <row r="236" ht="14.2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6"/>
      <c r="Q236" s="16"/>
      <c r="R236" s="16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</row>
    <row r="237" ht="14.2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6"/>
      <c r="Q237" s="16"/>
      <c r="R237" s="16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</row>
    <row r="238" ht="14.2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6"/>
      <c r="Q238" s="16"/>
      <c r="R238" s="16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</row>
    <row r="239" ht="14.2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6"/>
      <c r="Q239" s="16"/>
      <c r="R239" s="16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</row>
    <row r="240" ht="14.2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6"/>
      <c r="Q240" s="16"/>
      <c r="R240" s="16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</row>
    <row r="241" ht="14.2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6"/>
      <c r="Q241" s="16"/>
      <c r="R241" s="16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</row>
    <row r="242" ht="14.2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6"/>
      <c r="Q242" s="16"/>
      <c r="R242" s="16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</row>
    <row r="243" ht="14.2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6"/>
      <c r="Q243" s="16"/>
      <c r="R243" s="16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</row>
    <row r="244" ht="14.2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6"/>
      <c r="Q244" s="16"/>
      <c r="R244" s="16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</row>
    <row r="245" ht="14.2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6"/>
      <c r="Q245" s="16"/>
      <c r="R245" s="16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</row>
    <row r="246" ht="14.2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6"/>
      <c r="Q246" s="16"/>
      <c r="R246" s="16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</row>
    <row r="247" ht="14.2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6"/>
      <c r="Q247" s="16"/>
      <c r="R247" s="16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</row>
    <row r="248" ht="14.2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6"/>
      <c r="Q248" s="16"/>
      <c r="R248" s="16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</row>
    <row r="249" ht="14.2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6"/>
      <c r="Q249" s="16"/>
      <c r="R249" s="16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</row>
    <row r="250" ht="14.2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6"/>
      <c r="Q250" s="16"/>
      <c r="R250" s="16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</row>
    <row r="251" ht="14.2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6"/>
      <c r="Q251" s="16"/>
      <c r="R251" s="16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</row>
    <row r="252" ht="14.2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6"/>
      <c r="Q252" s="16"/>
      <c r="R252" s="16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</row>
    <row r="253" ht="14.2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6"/>
      <c r="Q253" s="16"/>
      <c r="R253" s="16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</row>
    <row r="254" ht="14.2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6"/>
      <c r="Q254" s="16"/>
      <c r="R254" s="16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</row>
    <row r="255" ht="14.2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6"/>
      <c r="Q255" s="16"/>
      <c r="R255" s="16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</row>
    <row r="256" ht="14.2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6"/>
      <c r="Q256" s="16"/>
      <c r="R256" s="16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</row>
    <row r="257" ht="14.2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6"/>
      <c r="Q257" s="16"/>
      <c r="R257" s="16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</row>
    <row r="258" ht="14.2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6"/>
      <c r="Q258" s="16"/>
      <c r="R258" s="16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</row>
    <row r="259" ht="14.2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6"/>
      <c r="Q259" s="16"/>
      <c r="R259" s="16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</row>
    <row r="260" ht="14.2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6"/>
      <c r="Q260" s="16"/>
      <c r="R260" s="16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</row>
    <row r="261" ht="14.2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6"/>
      <c r="Q261" s="16"/>
      <c r="R261" s="16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</row>
    <row r="262" ht="14.2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6"/>
      <c r="Q262" s="16"/>
      <c r="R262" s="16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</row>
    <row r="263" ht="14.2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6"/>
      <c r="Q263" s="16"/>
      <c r="R263" s="16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</row>
    <row r="264" ht="14.2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6"/>
      <c r="Q264" s="16"/>
      <c r="R264" s="16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</row>
    <row r="265" ht="14.2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6"/>
      <c r="Q265" s="16"/>
      <c r="R265" s="16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</row>
    <row r="266" ht="14.2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6"/>
      <c r="Q266" s="16"/>
      <c r="R266" s="16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</row>
    <row r="267" ht="14.2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6"/>
      <c r="Q267" s="16"/>
      <c r="R267" s="16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</row>
    <row r="268" ht="14.2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6"/>
      <c r="Q268" s="16"/>
      <c r="R268" s="16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</row>
    <row r="269" ht="14.2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6"/>
      <c r="Q269" s="16"/>
      <c r="R269" s="16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</row>
    <row r="270" ht="14.2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6"/>
      <c r="Q270" s="16"/>
      <c r="R270" s="16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</row>
    <row r="271" ht="14.2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6"/>
      <c r="Q271" s="16"/>
      <c r="R271" s="16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</row>
    <row r="272" ht="14.2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6"/>
      <c r="Q272" s="16"/>
      <c r="R272" s="16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</row>
    <row r="273" ht="14.2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6"/>
      <c r="Q273" s="16"/>
      <c r="R273" s="16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</row>
    <row r="274" ht="14.2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6"/>
      <c r="Q274" s="16"/>
      <c r="R274" s="16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</row>
    <row r="275" ht="14.2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6"/>
      <c r="Q275" s="16"/>
      <c r="R275" s="16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</row>
    <row r="276" ht="14.2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6"/>
      <c r="Q276" s="16"/>
      <c r="R276" s="16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</row>
    <row r="277" ht="14.2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6"/>
      <c r="Q277" s="16"/>
      <c r="R277" s="16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</row>
    <row r="278" ht="14.2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6"/>
      <c r="Q278" s="16"/>
      <c r="R278" s="16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</row>
    <row r="279" ht="14.2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6"/>
      <c r="Q279" s="16"/>
      <c r="R279" s="16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</row>
    <row r="280" ht="14.2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6"/>
      <c r="Q280" s="16"/>
      <c r="R280" s="16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</row>
    <row r="281" ht="14.2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6"/>
      <c r="Q281" s="16"/>
      <c r="R281" s="16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</row>
    <row r="282" ht="14.2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6"/>
      <c r="Q282" s="16"/>
      <c r="R282" s="16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</row>
    <row r="283" ht="14.2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6"/>
      <c r="Q283" s="16"/>
      <c r="R283" s="16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</row>
    <row r="284" ht="14.2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6"/>
      <c r="Q284" s="16"/>
      <c r="R284" s="16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</row>
    <row r="285" ht="14.2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6"/>
      <c r="Q285" s="16"/>
      <c r="R285" s="16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</row>
    <row r="286" ht="14.2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6"/>
      <c r="Q286" s="16"/>
      <c r="R286" s="16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</row>
    <row r="287" ht="14.2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6"/>
      <c r="Q287" s="16"/>
      <c r="R287" s="16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</row>
    <row r="288" ht="14.2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6"/>
      <c r="Q288" s="16"/>
      <c r="R288" s="16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</row>
    <row r="289" ht="14.2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6"/>
      <c r="Q289" s="16"/>
      <c r="R289" s="16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</row>
    <row r="290" ht="14.2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6"/>
      <c r="Q290" s="16"/>
      <c r="R290" s="16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</row>
    <row r="291" ht="14.2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6"/>
      <c r="Q291" s="16"/>
      <c r="R291" s="16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</row>
    <row r="292" ht="14.2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6"/>
      <c r="Q292" s="16"/>
      <c r="R292" s="16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</row>
    <row r="293" ht="14.2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6"/>
      <c r="Q293" s="16"/>
      <c r="R293" s="16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</row>
    <row r="294" ht="14.2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6"/>
      <c r="Q294" s="16"/>
      <c r="R294" s="16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</row>
    <row r="295" ht="14.2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6"/>
      <c r="Q295" s="16"/>
      <c r="R295" s="16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</row>
    <row r="296" ht="14.2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6"/>
      <c r="Q296" s="16"/>
      <c r="R296" s="16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</row>
    <row r="297" ht="14.2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6"/>
      <c r="Q297" s="16"/>
      <c r="R297" s="16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</row>
    <row r="298" ht="14.2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6"/>
      <c r="Q298" s="16"/>
      <c r="R298" s="16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</row>
    <row r="299" ht="14.2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6"/>
      <c r="Q299" s="16"/>
      <c r="R299" s="16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</row>
    <row r="300" ht="14.2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6"/>
      <c r="Q300" s="16"/>
      <c r="R300" s="16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</row>
    <row r="301" ht="14.2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6"/>
      <c r="Q301" s="16"/>
      <c r="R301" s="16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</row>
    <row r="302" ht="14.2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6"/>
      <c r="Q302" s="16"/>
      <c r="R302" s="16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</row>
    <row r="303" ht="14.2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6"/>
      <c r="Q303" s="16"/>
      <c r="R303" s="16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</row>
    <row r="304" ht="14.2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6"/>
      <c r="Q304" s="16"/>
      <c r="R304" s="16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</row>
    <row r="305" ht="14.2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6"/>
      <c r="Q305" s="16"/>
      <c r="R305" s="16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</row>
    <row r="306" ht="14.2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6"/>
      <c r="Q306" s="16"/>
      <c r="R306" s="16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</row>
    <row r="307" ht="14.2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6"/>
      <c r="Q307" s="16"/>
      <c r="R307" s="16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</row>
    <row r="308" ht="14.2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6"/>
      <c r="Q308" s="16"/>
      <c r="R308" s="16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</row>
    <row r="309" ht="14.2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6"/>
      <c r="Q309" s="16"/>
      <c r="R309" s="16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</row>
    <row r="310" ht="14.2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6"/>
      <c r="Q310" s="16"/>
      <c r="R310" s="16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</row>
    <row r="311" ht="14.2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6"/>
      <c r="Q311" s="16"/>
      <c r="R311" s="16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</row>
    <row r="312" ht="14.2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6"/>
      <c r="Q312" s="16"/>
      <c r="R312" s="16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</row>
    <row r="313" ht="14.2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6"/>
      <c r="Q313" s="16"/>
      <c r="R313" s="16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</row>
    <row r="314" ht="14.2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6"/>
      <c r="Q314" s="16"/>
      <c r="R314" s="16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</row>
    <row r="315" ht="14.2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6"/>
      <c r="Q315" s="16"/>
      <c r="R315" s="16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</row>
    <row r="316" ht="14.2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6"/>
      <c r="Q316" s="16"/>
      <c r="R316" s="16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</row>
    <row r="317" ht="14.2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6"/>
      <c r="Q317" s="16"/>
      <c r="R317" s="16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</row>
    <row r="318" ht="14.2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6"/>
      <c r="Q318" s="16"/>
      <c r="R318" s="16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</row>
    <row r="319" ht="14.2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6"/>
      <c r="Q319" s="16"/>
      <c r="R319" s="16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</row>
    <row r="320" ht="14.2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6"/>
      <c r="Q320" s="16"/>
      <c r="R320" s="16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</row>
    <row r="321" ht="14.2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6"/>
      <c r="Q321" s="16"/>
      <c r="R321" s="16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</row>
    <row r="322" ht="14.2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6"/>
      <c r="Q322" s="16"/>
      <c r="R322" s="16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</row>
    <row r="323" ht="14.2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6"/>
      <c r="Q323" s="16"/>
      <c r="R323" s="16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</row>
    <row r="324" ht="14.2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6"/>
      <c r="Q324" s="16"/>
      <c r="R324" s="16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</row>
    <row r="325" ht="14.2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6"/>
      <c r="Q325" s="16"/>
      <c r="R325" s="16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</row>
    <row r="326" ht="14.2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6"/>
      <c r="Q326" s="16"/>
      <c r="R326" s="16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</row>
    <row r="327" ht="14.2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6"/>
      <c r="Q327" s="16"/>
      <c r="R327" s="16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</row>
    <row r="328" ht="14.2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6"/>
      <c r="Q328" s="16"/>
      <c r="R328" s="16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</row>
    <row r="329" ht="14.2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6"/>
      <c r="Q329" s="16"/>
      <c r="R329" s="16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</row>
    <row r="330" ht="14.2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6"/>
      <c r="Q330" s="16"/>
      <c r="R330" s="16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</row>
    <row r="331" ht="14.2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6"/>
      <c r="Q331" s="16"/>
      <c r="R331" s="16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</row>
    <row r="332" ht="14.2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6"/>
      <c r="Q332" s="16"/>
      <c r="R332" s="16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</row>
    <row r="333" ht="14.2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6"/>
      <c r="Q333" s="16"/>
      <c r="R333" s="16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</row>
    <row r="334" ht="14.2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6"/>
      <c r="Q334" s="16"/>
      <c r="R334" s="16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</row>
    <row r="335" ht="14.2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6"/>
      <c r="Q335" s="16"/>
      <c r="R335" s="16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</row>
    <row r="336" ht="14.2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6"/>
      <c r="Q336" s="16"/>
      <c r="R336" s="16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</row>
    <row r="337" ht="14.2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6"/>
      <c r="Q337" s="16"/>
      <c r="R337" s="16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</row>
    <row r="338" ht="14.2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6"/>
      <c r="Q338" s="16"/>
      <c r="R338" s="16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</row>
    <row r="339" ht="14.2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6"/>
      <c r="Q339" s="16"/>
      <c r="R339" s="16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</row>
    <row r="340" ht="14.2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6"/>
      <c r="Q340" s="16"/>
      <c r="R340" s="16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</row>
    <row r="341" ht="14.2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6"/>
      <c r="Q341" s="16"/>
      <c r="R341" s="16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</row>
    <row r="342" ht="14.2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6"/>
      <c r="Q342" s="16"/>
      <c r="R342" s="16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</row>
    <row r="343" ht="14.2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6"/>
      <c r="Q343" s="16"/>
      <c r="R343" s="16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</row>
    <row r="344" ht="14.2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6"/>
      <c r="Q344" s="16"/>
      <c r="R344" s="16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</row>
    <row r="345" ht="14.2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6"/>
      <c r="Q345" s="16"/>
      <c r="R345" s="16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</row>
    <row r="346" ht="14.2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6"/>
      <c r="Q346" s="16"/>
      <c r="R346" s="16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</row>
    <row r="347" ht="14.2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6"/>
      <c r="Q347" s="16"/>
      <c r="R347" s="16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</row>
    <row r="348" ht="14.2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6"/>
      <c r="Q348" s="16"/>
      <c r="R348" s="16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</row>
    <row r="349" ht="14.2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6"/>
      <c r="Q349" s="16"/>
      <c r="R349" s="16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</row>
    <row r="350" ht="14.2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6"/>
      <c r="Q350" s="16"/>
      <c r="R350" s="16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</row>
    <row r="351" ht="14.2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6"/>
      <c r="Q351" s="16"/>
      <c r="R351" s="16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</row>
    <row r="352" ht="14.2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6"/>
      <c r="Q352" s="16"/>
      <c r="R352" s="16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</row>
    <row r="353" ht="14.2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6"/>
      <c r="Q353" s="16"/>
      <c r="R353" s="16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</row>
    <row r="354" ht="14.2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6"/>
      <c r="Q354" s="16"/>
      <c r="R354" s="16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</row>
    <row r="355" ht="14.2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6"/>
      <c r="Q355" s="16"/>
      <c r="R355" s="16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</row>
    <row r="356" ht="14.2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6"/>
      <c r="Q356" s="16"/>
      <c r="R356" s="16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</row>
    <row r="357" ht="14.2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6"/>
      <c r="Q357" s="16"/>
      <c r="R357" s="16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</row>
    <row r="358" ht="14.2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6"/>
      <c r="Q358" s="16"/>
      <c r="R358" s="16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</row>
    <row r="359" ht="14.2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6"/>
      <c r="Q359" s="16"/>
      <c r="R359" s="16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</row>
    <row r="360" ht="14.2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6"/>
      <c r="Q360" s="16"/>
      <c r="R360" s="16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</row>
    <row r="361" ht="14.2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6"/>
      <c r="Q361" s="16"/>
      <c r="R361" s="16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</row>
    <row r="362" ht="14.2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6"/>
      <c r="Q362" s="16"/>
      <c r="R362" s="16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</row>
    <row r="363" ht="14.2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6"/>
      <c r="Q363" s="16"/>
      <c r="R363" s="16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</row>
    <row r="364" ht="14.2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6"/>
      <c r="Q364" s="16"/>
      <c r="R364" s="16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</row>
    <row r="365" ht="14.2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6"/>
      <c r="Q365" s="16"/>
      <c r="R365" s="16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</row>
    <row r="366" ht="14.2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6"/>
      <c r="Q366" s="16"/>
      <c r="R366" s="16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</row>
    <row r="367" ht="14.2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6"/>
      <c r="Q367" s="16"/>
      <c r="R367" s="16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</row>
    <row r="368" ht="14.2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6"/>
      <c r="Q368" s="16"/>
      <c r="R368" s="16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</row>
    <row r="369" ht="14.2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6"/>
      <c r="Q369" s="16"/>
      <c r="R369" s="16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</row>
    <row r="370" ht="14.2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6"/>
      <c r="Q370" s="16"/>
      <c r="R370" s="16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</row>
    <row r="371" ht="14.2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6"/>
      <c r="Q371" s="16"/>
      <c r="R371" s="16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</row>
    <row r="372" ht="14.2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6"/>
      <c r="Q372" s="16"/>
      <c r="R372" s="16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</row>
    <row r="373" ht="14.2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6"/>
      <c r="Q373" s="16"/>
      <c r="R373" s="16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</row>
    <row r="374" ht="14.2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6"/>
      <c r="Q374" s="16"/>
      <c r="R374" s="16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</row>
    <row r="375" ht="14.2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6"/>
      <c r="Q375" s="16"/>
      <c r="R375" s="16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</row>
    <row r="376" ht="14.2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6"/>
      <c r="Q376" s="16"/>
      <c r="R376" s="16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</row>
    <row r="377" ht="14.2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6"/>
      <c r="Q377" s="16"/>
      <c r="R377" s="16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</row>
    <row r="378" ht="14.2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6"/>
      <c r="Q378" s="16"/>
      <c r="R378" s="16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</row>
    <row r="379" ht="14.2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6"/>
      <c r="Q379" s="16"/>
      <c r="R379" s="16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</row>
    <row r="380" ht="14.2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6"/>
      <c r="Q380" s="16"/>
      <c r="R380" s="16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</row>
    <row r="381" ht="14.2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6"/>
      <c r="Q381" s="16"/>
      <c r="R381" s="16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</row>
    <row r="382" ht="14.2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6"/>
      <c r="Q382" s="16"/>
      <c r="R382" s="16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</row>
    <row r="383" ht="14.2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6"/>
      <c r="Q383" s="16"/>
      <c r="R383" s="16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</row>
    <row r="384" ht="14.2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6"/>
      <c r="Q384" s="16"/>
      <c r="R384" s="16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</row>
    <row r="385" ht="14.2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6"/>
      <c r="Q385" s="16"/>
      <c r="R385" s="16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</row>
    <row r="386" ht="14.2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6"/>
      <c r="Q386" s="16"/>
      <c r="R386" s="16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</row>
    <row r="387" ht="14.2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6"/>
      <c r="Q387" s="16"/>
      <c r="R387" s="16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</row>
    <row r="388" ht="14.2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6"/>
      <c r="Q388" s="16"/>
      <c r="R388" s="16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</row>
    <row r="389" ht="14.2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6"/>
      <c r="Q389" s="16"/>
      <c r="R389" s="16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</row>
    <row r="390" ht="14.2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6"/>
      <c r="Q390" s="16"/>
      <c r="R390" s="16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</row>
    <row r="391" ht="14.2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6"/>
      <c r="Q391" s="16"/>
      <c r="R391" s="16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</row>
    <row r="392" ht="14.2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6"/>
      <c r="Q392" s="16"/>
      <c r="R392" s="16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</row>
    <row r="393" ht="14.2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6"/>
      <c r="Q393" s="16"/>
      <c r="R393" s="16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</row>
    <row r="394" ht="14.2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6"/>
      <c r="Q394" s="16"/>
      <c r="R394" s="16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</row>
    <row r="395" ht="14.2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6"/>
      <c r="Q395" s="16"/>
      <c r="R395" s="16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</row>
    <row r="396" ht="14.2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6"/>
      <c r="Q396" s="16"/>
      <c r="R396" s="16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</row>
    <row r="397" ht="14.2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6"/>
      <c r="Q397" s="16"/>
      <c r="R397" s="16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</row>
    <row r="398" ht="14.2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6"/>
      <c r="Q398" s="16"/>
      <c r="R398" s="16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</row>
    <row r="399" ht="14.2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6"/>
      <c r="Q399" s="16"/>
      <c r="R399" s="16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</row>
    <row r="400" ht="14.2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6"/>
      <c r="Q400" s="16"/>
      <c r="R400" s="16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</row>
    <row r="401" ht="14.2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6"/>
      <c r="Q401" s="16"/>
      <c r="R401" s="16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</row>
    <row r="402" ht="14.2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6"/>
      <c r="Q402" s="16"/>
      <c r="R402" s="16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</row>
    <row r="403" ht="14.2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6"/>
      <c r="Q403" s="16"/>
      <c r="R403" s="16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</row>
    <row r="404" ht="14.2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6"/>
      <c r="Q404" s="16"/>
      <c r="R404" s="16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</row>
    <row r="405" ht="14.2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6"/>
      <c r="Q405" s="16"/>
      <c r="R405" s="16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</row>
    <row r="406" ht="14.2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6"/>
      <c r="Q406" s="16"/>
      <c r="R406" s="16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</row>
    <row r="407" ht="14.2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6"/>
      <c r="Q407" s="16"/>
      <c r="R407" s="16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</row>
    <row r="408" ht="14.2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6"/>
      <c r="Q408" s="16"/>
      <c r="R408" s="16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</row>
    <row r="409" ht="14.2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6"/>
      <c r="Q409" s="16"/>
      <c r="R409" s="16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</row>
    <row r="410" ht="14.2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6"/>
      <c r="Q410" s="16"/>
      <c r="R410" s="16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</row>
    <row r="411" ht="14.2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6"/>
      <c r="Q411" s="16"/>
      <c r="R411" s="16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</row>
    <row r="412" ht="14.2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6"/>
      <c r="Q412" s="16"/>
      <c r="R412" s="16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</row>
    <row r="413" ht="14.2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6"/>
      <c r="Q413" s="16"/>
      <c r="R413" s="16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</row>
    <row r="414" ht="14.2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6"/>
      <c r="Q414" s="16"/>
      <c r="R414" s="16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</row>
    <row r="415" ht="14.2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6"/>
      <c r="Q415" s="16"/>
      <c r="R415" s="16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</row>
    <row r="416" ht="14.2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6"/>
      <c r="Q416" s="16"/>
      <c r="R416" s="16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</row>
    <row r="417" ht="14.2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6"/>
      <c r="Q417" s="16"/>
      <c r="R417" s="16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</row>
    <row r="418" ht="14.2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6"/>
      <c r="Q418" s="16"/>
      <c r="R418" s="16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</row>
    <row r="419" ht="14.2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6"/>
      <c r="Q419" s="16"/>
      <c r="R419" s="16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</row>
    <row r="420" ht="14.2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6"/>
      <c r="Q420" s="16"/>
      <c r="R420" s="16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</row>
    <row r="421" ht="14.2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6"/>
      <c r="Q421" s="16"/>
      <c r="R421" s="16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</row>
    <row r="422" ht="14.2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6"/>
      <c r="Q422" s="16"/>
      <c r="R422" s="16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</row>
    <row r="423" ht="14.2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6"/>
      <c r="Q423" s="16"/>
      <c r="R423" s="16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</row>
    <row r="424" ht="14.2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6"/>
      <c r="Q424" s="16"/>
      <c r="R424" s="16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</row>
    <row r="425" ht="14.2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6"/>
      <c r="Q425" s="16"/>
      <c r="R425" s="16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</row>
    <row r="426" ht="14.2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6"/>
      <c r="Q426" s="16"/>
      <c r="R426" s="16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</row>
    <row r="427" ht="14.2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6"/>
      <c r="Q427" s="16"/>
      <c r="R427" s="16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</row>
    <row r="428" ht="14.2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6"/>
      <c r="Q428" s="16"/>
      <c r="R428" s="16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</row>
    <row r="429" ht="14.2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6"/>
      <c r="Q429" s="16"/>
      <c r="R429" s="16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</row>
    <row r="430" ht="14.2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6"/>
      <c r="Q430" s="16"/>
      <c r="R430" s="16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</row>
    <row r="431" ht="14.2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6"/>
      <c r="Q431" s="16"/>
      <c r="R431" s="16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</row>
    <row r="432" ht="14.2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6"/>
      <c r="Q432" s="16"/>
      <c r="R432" s="16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</row>
    <row r="433" ht="14.2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6"/>
      <c r="Q433" s="16"/>
      <c r="R433" s="16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</row>
    <row r="434" ht="14.2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6"/>
      <c r="Q434" s="16"/>
      <c r="R434" s="16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</row>
    <row r="435" ht="14.2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6"/>
      <c r="Q435" s="16"/>
      <c r="R435" s="16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</row>
    <row r="436" ht="14.2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6"/>
      <c r="Q436" s="16"/>
      <c r="R436" s="16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</row>
    <row r="437" ht="14.2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6"/>
      <c r="Q437" s="16"/>
      <c r="R437" s="16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</row>
    <row r="438" ht="14.2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6"/>
      <c r="Q438" s="16"/>
      <c r="R438" s="16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</row>
    <row r="439" ht="14.2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6"/>
      <c r="Q439" s="16"/>
      <c r="R439" s="16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</row>
    <row r="440" ht="14.2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6"/>
      <c r="Q440" s="16"/>
      <c r="R440" s="16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</row>
    <row r="441" ht="14.2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6"/>
      <c r="Q441" s="16"/>
      <c r="R441" s="16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</row>
    <row r="442" ht="14.2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6"/>
      <c r="Q442" s="16"/>
      <c r="R442" s="16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</row>
    <row r="443" ht="14.2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6"/>
      <c r="Q443" s="16"/>
      <c r="R443" s="16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</row>
    <row r="444" ht="14.2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6"/>
      <c r="Q444" s="16"/>
      <c r="R444" s="16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</row>
    <row r="445" ht="14.2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6"/>
      <c r="Q445" s="16"/>
      <c r="R445" s="16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</row>
    <row r="446" ht="14.2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6"/>
      <c r="Q446" s="16"/>
      <c r="R446" s="16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</row>
    <row r="447" ht="14.2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6"/>
      <c r="Q447" s="16"/>
      <c r="R447" s="16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</row>
    <row r="448" ht="14.2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6"/>
      <c r="Q448" s="16"/>
      <c r="R448" s="16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</row>
    <row r="449" ht="14.2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6"/>
      <c r="Q449" s="16"/>
      <c r="R449" s="16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</row>
    <row r="450" ht="14.2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6"/>
      <c r="Q450" s="16"/>
      <c r="R450" s="16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</row>
    <row r="451" ht="14.2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6"/>
      <c r="Q451" s="16"/>
      <c r="R451" s="16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</row>
    <row r="452" ht="14.2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6"/>
      <c r="Q452" s="16"/>
      <c r="R452" s="16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</row>
    <row r="453" ht="14.2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6"/>
      <c r="Q453" s="16"/>
      <c r="R453" s="16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</row>
    <row r="454" ht="14.2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6"/>
      <c r="Q454" s="16"/>
      <c r="R454" s="16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</row>
    <row r="455" ht="14.2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6"/>
      <c r="Q455" s="16"/>
      <c r="R455" s="16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</row>
    <row r="456" ht="14.2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6"/>
      <c r="Q456" s="16"/>
      <c r="R456" s="16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</row>
    <row r="457" ht="14.2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6"/>
      <c r="Q457" s="16"/>
      <c r="R457" s="16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</row>
    <row r="458" ht="14.2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6"/>
      <c r="Q458" s="16"/>
      <c r="R458" s="16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</row>
    <row r="459" ht="14.2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6"/>
      <c r="Q459" s="16"/>
      <c r="R459" s="16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</row>
    <row r="460" ht="14.2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6"/>
      <c r="Q460" s="16"/>
      <c r="R460" s="16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</row>
    <row r="461" ht="14.2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6"/>
      <c r="Q461" s="16"/>
      <c r="R461" s="16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</row>
    <row r="462" ht="14.2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6"/>
      <c r="Q462" s="16"/>
      <c r="R462" s="16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</row>
    <row r="463" ht="14.2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6"/>
      <c r="Q463" s="16"/>
      <c r="R463" s="16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</row>
    <row r="464" ht="14.2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6"/>
      <c r="Q464" s="16"/>
      <c r="R464" s="16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</row>
    <row r="465" ht="14.2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6"/>
      <c r="Q465" s="16"/>
      <c r="R465" s="16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</row>
    <row r="466" ht="14.2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6"/>
      <c r="Q466" s="16"/>
      <c r="R466" s="16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</row>
    <row r="467" ht="14.2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6"/>
      <c r="Q467" s="16"/>
      <c r="R467" s="16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</row>
    <row r="468" ht="14.2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6"/>
      <c r="Q468" s="16"/>
      <c r="R468" s="16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</row>
    <row r="469" ht="14.2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6"/>
      <c r="Q469" s="16"/>
      <c r="R469" s="16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</row>
    <row r="470" ht="14.2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6"/>
      <c r="Q470" s="16"/>
      <c r="R470" s="16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</row>
    <row r="471" ht="14.2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6"/>
      <c r="Q471" s="16"/>
      <c r="R471" s="16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</row>
    <row r="472" ht="14.2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6"/>
      <c r="Q472" s="16"/>
      <c r="R472" s="16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</row>
    <row r="473" ht="14.2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6"/>
      <c r="Q473" s="16"/>
      <c r="R473" s="16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</row>
    <row r="474" ht="14.2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6"/>
      <c r="Q474" s="16"/>
      <c r="R474" s="16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</row>
    <row r="475" ht="14.2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6"/>
      <c r="Q475" s="16"/>
      <c r="R475" s="16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</row>
    <row r="476" ht="14.2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6"/>
      <c r="Q476" s="16"/>
      <c r="R476" s="16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</row>
    <row r="477" ht="14.2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6"/>
      <c r="Q477" s="16"/>
      <c r="R477" s="16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</row>
    <row r="478" ht="14.2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6"/>
      <c r="Q478" s="16"/>
      <c r="R478" s="16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</row>
    <row r="479" ht="14.2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6"/>
      <c r="Q479" s="16"/>
      <c r="R479" s="16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</row>
    <row r="480" ht="14.2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6"/>
      <c r="Q480" s="16"/>
      <c r="R480" s="16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</row>
    <row r="481" ht="14.2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6"/>
      <c r="Q481" s="16"/>
      <c r="R481" s="16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</row>
    <row r="482" ht="14.2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6"/>
      <c r="Q482" s="16"/>
      <c r="R482" s="16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</row>
    <row r="483" ht="14.2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6"/>
      <c r="Q483" s="16"/>
      <c r="R483" s="16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</row>
    <row r="484" ht="14.2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6"/>
      <c r="Q484" s="16"/>
      <c r="R484" s="16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</row>
    <row r="485" ht="14.2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6"/>
      <c r="Q485" s="16"/>
      <c r="R485" s="16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</row>
    <row r="486" ht="14.2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6"/>
      <c r="Q486" s="16"/>
      <c r="R486" s="16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</row>
    <row r="487" ht="14.2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6"/>
      <c r="Q487" s="16"/>
      <c r="R487" s="16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</row>
    <row r="488" ht="14.2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6"/>
      <c r="Q488" s="16"/>
      <c r="R488" s="16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</row>
    <row r="489" ht="14.2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6"/>
      <c r="Q489" s="16"/>
      <c r="R489" s="16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</row>
    <row r="490" ht="14.2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6"/>
      <c r="Q490" s="16"/>
      <c r="R490" s="16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</row>
    <row r="491" ht="14.2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6"/>
      <c r="Q491" s="16"/>
      <c r="R491" s="16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</row>
    <row r="492" ht="14.2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6"/>
      <c r="Q492" s="16"/>
      <c r="R492" s="16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</row>
    <row r="493" ht="14.2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6"/>
      <c r="Q493" s="16"/>
      <c r="R493" s="16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</row>
    <row r="494" ht="14.2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6"/>
      <c r="Q494" s="16"/>
      <c r="R494" s="16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</row>
    <row r="495" ht="14.2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6"/>
      <c r="Q495" s="16"/>
      <c r="R495" s="16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</row>
    <row r="496" ht="14.2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6"/>
      <c r="Q496" s="16"/>
      <c r="R496" s="16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</row>
    <row r="497" ht="14.2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6"/>
      <c r="Q497" s="16"/>
      <c r="R497" s="16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</row>
    <row r="498" ht="14.2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6"/>
      <c r="Q498" s="16"/>
      <c r="R498" s="16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</row>
    <row r="499" ht="14.2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6"/>
      <c r="Q499" s="16"/>
      <c r="R499" s="16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</row>
    <row r="500" ht="14.2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6"/>
      <c r="Q500" s="16"/>
      <c r="R500" s="16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</row>
    <row r="501" ht="14.2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6"/>
      <c r="Q501" s="16"/>
      <c r="R501" s="16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</row>
    <row r="502" ht="14.2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6"/>
      <c r="Q502" s="16"/>
      <c r="R502" s="16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</row>
    <row r="503" ht="14.2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6"/>
      <c r="Q503" s="16"/>
      <c r="R503" s="16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</row>
    <row r="504" ht="14.2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6"/>
      <c r="Q504" s="16"/>
      <c r="R504" s="16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</row>
    <row r="505" ht="14.2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6"/>
      <c r="Q505" s="16"/>
      <c r="R505" s="16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</row>
    <row r="506" ht="14.2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6"/>
      <c r="Q506" s="16"/>
      <c r="R506" s="16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</row>
    <row r="507" ht="14.2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6"/>
      <c r="Q507" s="16"/>
      <c r="R507" s="16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</row>
    <row r="508" ht="14.2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6"/>
      <c r="Q508" s="16"/>
      <c r="R508" s="16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</row>
    <row r="509" ht="14.2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6"/>
      <c r="Q509" s="16"/>
      <c r="R509" s="16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</row>
    <row r="510" ht="14.2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6"/>
      <c r="Q510" s="16"/>
      <c r="R510" s="16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</row>
    <row r="511" ht="14.2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6"/>
      <c r="Q511" s="16"/>
      <c r="R511" s="16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</row>
    <row r="512" ht="14.2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6"/>
      <c r="Q512" s="16"/>
      <c r="R512" s="16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</row>
    <row r="513" ht="14.2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6"/>
      <c r="Q513" s="16"/>
      <c r="R513" s="16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</row>
    <row r="514" ht="14.2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6"/>
      <c r="Q514" s="16"/>
      <c r="R514" s="16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</row>
    <row r="515" ht="14.2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6"/>
      <c r="Q515" s="16"/>
      <c r="R515" s="16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</row>
    <row r="516" ht="14.2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6"/>
      <c r="Q516" s="16"/>
      <c r="R516" s="16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</row>
    <row r="517" ht="14.2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6"/>
      <c r="Q517" s="16"/>
      <c r="R517" s="16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</row>
    <row r="518" ht="14.2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6"/>
      <c r="Q518" s="16"/>
      <c r="R518" s="16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</row>
    <row r="519" ht="14.2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6"/>
      <c r="Q519" s="16"/>
      <c r="R519" s="16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</row>
    <row r="520" ht="14.2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6"/>
      <c r="Q520" s="16"/>
      <c r="R520" s="16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</row>
    <row r="521" ht="14.2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6"/>
      <c r="Q521" s="16"/>
      <c r="R521" s="16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</row>
    <row r="522" ht="14.2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6"/>
      <c r="Q522" s="16"/>
      <c r="R522" s="16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</row>
    <row r="523" ht="14.2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6"/>
      <c r="Q523" s="16"/>
      <c r="R523" s="16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</row>
    <row r="524" ht="14.2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6"/>
      <c r="Q524" s="16"/>
      <c r="R524" s="16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</row>
    <row r="525" ht="14.2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6"/>
      <c r="Q525" s="16"/>
      <c r="R525" s="16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</row>
    <row r="526" ht="14.2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6"/>
      <c r="Q526" s="16"/>
      <c r="R526" s="16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</row>
    <row r="527" ht="14.2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6"/>
      <c r="Q527" s="16"/>
      <c r="R527" s="16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</row>
    <row r="528" ht="14.2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6"/>
      <c r="Q528" s="16"/>
      <c r="R528" s="16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</row>
    <row r="529" ht="14.2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6"/>
      <c r="Q529" s="16"/>
      <c r="R529" s="16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</row>
    <row r="530" ht="14.2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6"/>
      <c r="Q530" s="16"/>
      <c r="R530" s="16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</row>
    <row r="531" ht="14.2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6"/>
      <c r="Q531" s="16"/>
      <c r="R531" s="16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</row>
    <row r="532" ht="14.2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6"/>
      <c r="Q532" s="16"/>
      <c r="R532" s="16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</row>
    <row r="533" ht="14.2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6"/>
      <c r="Q533" s="16"/>
      <c r="R533" s="16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</row>
    <row r="534" ht="14.2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6"/>
      <c r="Q534" s="16"/>
      <c r="R534" s="16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</row>
    <row r="535" ht="14.2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6"/>
      <c r="Q535" s="16"/>
      <c r="R535" s="16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</row>
    <row r="536" ht="14.2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6"/>
      <c r="Q536" s="16"/>
      <c r="R536" s="16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</row>
    <row r="537" ht="14.2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6"/>
      <c r="Q537" s="16"/>
      <c r="R537" s="16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</row>
    <row r="538" ht="14.2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6"/>
      <c r="Q538" s="16"/>
      <c r="R538" s="16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</row>
    <row r="539" ht="14.2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6"/>
      <c r="Q539" s="16"/>
      <c r="R539" s="16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</row>
    <row r="540" ht="14.2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6"/>
      <c r="Q540" s="16"/>
      <c r="R540" s="16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</row>
    <row r="541" ht="14.2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6"/>
      <c r="Q541" s="16"/>
      <c r="R541" s="16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</row>
    <row r="542" ht="14.2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6"/>
      <c r="Q542" s="16"/>
      <c r="R542" s="16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</row>
    <row r="543" ht="14.2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6"/>
      <c r="Q543" s="16"/>
      <c r="R543" s="16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</row>
    <row r="544" ht="14.2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6"/>
      <c r="Q544" s="16"/>
      <c r="R544" s="16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</row>
    <row r="545" ht="14.2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6"/>
      <c r="Q545" s="16"/>
      <c r="R545" s="16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</row>
    <row r="546" ht="14.2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6"/>
      <c r="Q546" s="16"/>
      <c r="R546" s="16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</row>
    <row r="547" ht="14.2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6"/>
      <c r="Q547" s="16"/>
      <c r="R547" s="16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</row>
    <row r="548" ht="14.2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6"/>
      <c r="Q548" s="16"/>
      <c r="R548" s="16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</row>
    <row r="549" ht="14.2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6"/>
      <c r="Q549" s="16"/>
      <c r="R549" s="16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</row>
    <row r="550" ht="14.2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6"/>
      <c r="Q550" s="16"/>
      <c r="R550" s="16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</row>
    <row r="551" ht="14.2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6"/>
      <c r="Q551" s="16"/>
      <c r="R551" s="16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</row>
    <row r="552" ht="14.2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6"/>
      <c r="Q552" s="16"/>
      <c r="R552" s="16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</row>
    <row r="553" ht="14.2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6"/>
      <c r="Q553" s="16"/>
      <c r="R553" s="16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</row>
    <row r="554" ht="14.2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6"/>
      <c r="Q554" s="16"/>
      <c r="R554" s="16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</row>
    <row r="555" ht="14.2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6"/>
      <c r="Q555" s="16"/>
      <c r="R555" s="16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</row>
    <row r="556" ht="14.2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6"/>
      <c r="Q556" s="16"/>
      <c r="R556" s="16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</row>
    <row r="557" ht="14.2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6"/>
      <c r="Q557" s="16"/>
      <c r="R557" s="16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</row>
    <row r="558" ht="14.2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6"/>
      <c r="Q558" s="16"/>
      <c r="R558" s="16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</row>
    <row r="559" ht="14.2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6"/>
      <c r="Q559" s="16"/>
      <c r="R559" s="16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</row>
    <row r="560" ht="14.2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6"/>
      <c r="Q560" s="16"/>
      <c r="R560" s="16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</row>
    <row r="561" ht="14.2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6"/>
      <c r="Q561" s="16"/>
      <c r="R561" s="16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</row>
    <row r="562" ht="14.2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6"/>
      <c r="Q562" s="16"/>
      <c r="R562" s="16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</row>
    <row r="563" ht="14.2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6"/>
      <c r="Q563" s="16"/>
      <c r="R563" s="16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</row>
    <row r="564" ht="14.2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6"/>
      <c r="Q564" s="16"/>
      <c r="R564" s="16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</row>
    <row r="565" ht="14.2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6"/>
      <c r="Q565" s="16"/>
      <c r="R565" s="16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</row>
    <row r="566" ht="14.2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6"/>
      <c r="Q566" s="16"/>
      <c r="R566" s="16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</row>
    <row r="567" ht="14.2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6"/>
      <c r="Q567" s="16"/>
      <c r="R567" s="16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</row>
    <row r="568" ht="14.2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6"/>
      <c r="Q568" s="16"/>
      <c r="R568" s="16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</row>
    <row r="569" ht="14.2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6"/>
      <c r="Q569" s="16"/>
      <c r="R569" s="16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</row>
    <row r="570" ht="14.2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6"/>
      <c r="Q570" s="16"/>
      <c r="R570" s="16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</row>
    <row r="571" ht="14.2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6"/>
      <c r="Q571" s="16"/>
      <c r="R571" s="16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</row>
    <row r="572" ht="14.2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6"/>
      <c r="Q572" s="16"/>
      <c r="R572" s="16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</row>
    <row r="573" ht="14.2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6"/>
      <c r="Q573" s="16"/>
      <c r="R573" s="16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</row>
    <row r="574" ht="14.2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6"/>
      <c r="Q574" s="16"/>
      <c r="R574" s="16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</row>
    <row r="575" ht="14.2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6"/>
      <c r="Q575" s="16"/>
      <c r="R575" s="16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</row>
    <row r="576" ht="14.2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6"/>
      <c r="Q576" s="16"/>
      <c r="R576" s="16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</row>
    <row r="577" ht="14.2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6"/>
      <c r="Q577" s="16"/>
      <c r="R577" s="16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</row>
    <row r="578" ht="14.2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6"/>
      <c r="Q578" s="16"/>
      <c r="R578" s="16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</row>
    <row r="579" ht="14.2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6"/>
      <c r="Q579" s="16"/>
      <c r="R579" s="16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</row>
    <row r="580" ht="14.2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6"/>
      <c r="Q580" s="16"/>
      <c r="R580" s="16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</row>
    <row r="581" ht="14.2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6"/>
      <c r="Q581" s="16"/>
      <c r="R581" s="16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</row>
    <row r="582" ht="14.2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6"/>
      <c r="Q582" s="16"/>
      <c r="R582" s="16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</row>
    <row r="583" ht="14.2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6"/>
      <c r="Q583" s="16"/>
      <c r="R583" s="16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</row>
    <row r="584" ht="14.2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6"/>
      <c r="Q584" s="16"/>
      <c r="R584" s="16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</row>
    <row r="585" ht="14.2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6"/>
      <c r="Q585" s="16"/>
      <c r="R585" s="16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</row>
    <row r="586" ht="14.2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6"/>
      <c r="Q586" s="16"/>
      <c r="R586" s="16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</row>
    <row r="587" ht="14.2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6"/>
      <c r="Q587" s="16"/>
      <c r="R587" s="16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</row>
    <row r="588" ht="14.2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6"/>
      <c r="Q588" s="16"/>
      <c r="R588" s="16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</row>
    <row r="589" ht="14.2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6"/>
      <c r="Q589" s="16"/>
      <c r="R589" s="16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</row>
    <row r="590" ht="14.2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6"/>
      <c r="Q590" s="16"/>
      <c r="R590" s="16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</row>
    <row r="591" ht="14.2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6"/>
      <c r="Q591" s="16"/>
      <c r="R591" s="16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</row>
    <row r="592" ht="14.2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6"/>
      <c r="Q592" s="16"/>
      <c r="R592" s="16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</row>
    <row r="593" ht="14.2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6"/>
      <c r="Q593" s="16"/>
      <c r="R593" s="16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</row>
    <row r="594" ht="14.2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6"/>
      <c r="Q594" s="16"/>
      <c r="R594" s="16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</row>
    <row r="595" ht="14.2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6"/>
      <c r="Q595" s="16"/>
      <c r="R595" s="16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</row>
    <row r="596" ht="14.2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6"/>
      <c r="Q596" s="16"/>
      <c r="R596" s="16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</row>
    <row r="597" ht="14.2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6"/>
      <c r="Q597" s="16"/>
      <c r="R597" s="16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</row>
    <row r="598" ht="14.2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6"/>
      <c r="Q598" s="16"/>
      <c r="R598" s="16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</row>
    <row r="599" ht="14.2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6"/>
      <c r="Q599" s="16"/>
      <c r="R599" s="16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</row>
    <row r="600" ht="14.2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6"/>
      <c r="Q600" s="16"/>
      <c r="R600" s="16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</row>
    <row r="601" ht="14.2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6"/>
      <c r="Q601" s="16"/>
      <c r="R601" s="16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</row>
    <row r="602" ht="14.2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6"/>
      <c r="Q602" s="16"/>
      <c r="R602" s="16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</row>
    <row r="603" ht="14.2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6"/>
      <c r="Q603" s="16"/>
      <c r="R603" s="16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</row>
    <row r="604" ht="14.2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6"/>
      <c r="Q604" s="16"/>
      <c r="R604" s="16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</row>
    <row r="605" ht="14.2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6"/>
      <c r="Q605" s="16"/>
      <c r="R605" s="16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</row>
    <row r="606" ht="14.2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6"/>
      <c r="Q606" s="16"/>
      <c r="R606" s="16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</row>
    <row r="607" ht="14.2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6"/>
      <c r="Q607" s="16"/>
      <c r="R607" s="16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</row>
    <row r="608" ht="14.2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6"/>
      <c r="Q608" s="16"/>
      <c r="R608" s="16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</row>
    <row r="609" ht="14.2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6"/>
      <c r="Q609" s="16"/>
      <c r="R609" s="16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</row>
    <row r="610" ht="14.2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6"/>
      <c r="Q610" s="16"/>
      <c r="R610" s="16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</row>
    <row r="611" ht="14.2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6"/>
      <c r="Q611" s="16"/>
      <c r="R611" s="16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</row>
    <row r="612" ht="14.2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6"/>
      <c r="Q612" s="16"/>
      <c r="R612" s="16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</row>
    <row r="613" ht="14.2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6"/>
      <c r="Q613" s="16"/>
      <c r="R613" s="16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</row>
    <row r="614" ht="14.2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6"/>
      <c r="Q614" s="16"/>
      <c r="R614" s="16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</row>
    <row r="615" ht="14.2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6"/>
      <c r="Q615" s="16"/>
      <c r="R615" s="16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</row>
    <row r="616" ht="14.2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6"/>
      <c r="Q616" s="16"/>
      <c r="R616" s="16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</row>
    <row r="617" ht="14.2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6"/>
      <c r="Q617" s="16"/>
      <c r="R617" s="16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</row>
    <row r="618" ht="14.2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6"/>
      <c r="Q618" s="16"/>
      <c r="R618" s="16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</row>
    <row r="619" ht="14.2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6"/>
      <c r="Q619" s="16"/>
      <c r="R619" s="16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</row>
    <row r="620" ht="14.2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6"/>
      <c r="Q620" s="16"/>
      <c r="R620" s="16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</row>
    <row r="621" ht="14.2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6"/>
      <c r="Q621" s="16"/>
      <c r="R621" s="16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</row>
    <row r="622" ht="14.2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6"/>
      <c r="Q622" s="16"/>
      <c r="R622" s="16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</row>
    <row r="623" ht="14.2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6"/>
      <c r="Q623" s="16"/>
      <c r="R623" s="16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</row>
    <row r="624" ht="14.2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6"/>
      <c r="Q624" s="16"/>
      <c r="R624" s="16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</row>
    <row r="625" ht="14.2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6"/>
      <c r="Q625" s="16"/>
      <c r="R625" s="16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</row>
    <row r="626" ht="14.2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6"/>
      <c r="Q626" s="16"/>
      <c r="R626" s="16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</row>
    <row r="627" ht="14.2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6"/>
      <c r="Q627" s="16"/>
      <c r="R627" s="16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</row>
    <row r="628" ht="14.2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6"/>
      <c r="Q628" s="16"/>
      <c r="R628" s="16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</row>
    <row r="629" ht="14.2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6"/>
      <c r="Q629" s="16"/>
      <c r="R629" s="16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</row>
    <row r="630" ht="14.2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6"/>
      <c r="Q630" s="16"/>
      <c r="R630" s="16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</row>
    <row r="631" ht="14.2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6"/>
      <c r="Q631" s="16"/>
      <c r="R631" s="16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</row>
    <row r="632" ht="14.2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6"/>
      <c r="Q632" s="16"/>
      <c r="R632" s="16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</row>
    <row r="633" ht="14.2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6"/>
      <c r="Q633" s="16"/>
      <c r="R633" s="16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</row>
    <row r="634" ht="14.2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6"/>
      <c r="Q634" s="16"/>
      <c r="R634" s="16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</row>
    <row r="635" ht="14.2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6"/>
      <c r="Q635" s="16"/>
      <c r="R635" s="16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</row>
    <row r="636" ht="14.2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6"/>
      <c r="Q636" s="16"/>
      <c r="R636" s="16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</row>
    <row r="637" ht="14.2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6"/>
      <c r="Q637" s="16"/>
      <c r="R637" s="16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</row>
    <row r="638" ht="14.2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6"/>
      <c r="Q638" s="16"/>
      <c r="R638" s="16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</row>
    <row r="639" ht="14.2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6"/>
      <c r="Q639" s="16"/>
      <c r="R639" s="16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</row>
    <row r="640" ht="14.2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6"/>
      <c r="Q640" s="16"/>
      <c r="R640" s="16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</row>
    <row r="641" ht="14.2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6"/>
      <c r="Q641" s="16"/>
      <c r="R641" s="16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</row>
    <row r="642" ht="14.2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6"/>
      <c r="Q642" s="16"/>
      <c r="R642" s="16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</row>
    <row r="643" ht="14.2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6"/>
      <c r="Q643" s="16"/>
      <c r="R643" s="16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</row>
    <row r="644" ht="14.2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6"/>
      <c r="Q644" s="16"/>
      <c r="R644" s="16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</row>
    <row r="645" ht="14.2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6"/>
      <c r="Q645" s="16"/>
      <c r="R645" s="16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</row>
    <row r="646" ht="14.2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6"/>
      <c r="Q646" s="16"/>
      <c r="R646" s="16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</row>
    <row r="647" ht="14.2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6"/>
      <c r="Q647" s="16"/>
      <c r="R647" s="16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</row>
    <row r="648" ht="14.2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6"/>
      <c r="Q648" s="16"/>
      <c r="R648" s="16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</row>
    <row r="649" ht="14.2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6"/>
      <c r="Q649" s="16"/>
      <c r="R649" s="16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</row>
    <row r="650" ht="14.2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6"/>
      <c r="Q650" s="16"/>
      <c r="R650" s="16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</row>
    <row r="651" ht="14.2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6"/>
      <c r="Q651" s="16"/>
      <c r="R651" s="16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</row>
    <row r="652" ht="14.2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6"/>
      <c r="Q652" s="16"/>
      <c r="R652" s="16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</row>
    <row r="653" ht="14.2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6"/>
      <c r="Q653" s="16"/>
      <c r="R653" s="16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</row>
    <row r="654" ht="14.2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6"/>
      <c r="Q654" s="16"/>
      <c r="R654" s="16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</row>
    <row r="655" ht="14.2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6"/>
      <c r="Q655" s="16"/>
      <c r="R655" s="16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</row>
    <row r="656" ht="14.2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6"/>
      <c r="Q656" s="16"/>
      <c r="R656" s="16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</row>
    <row r="657" ht="14.2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6"/>
      <c r="Q657" s="16"/>
      <c r="R657" s="16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</row>
    <row r="658" ht="14.2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6"/>
      <c r="Q658" s="16"/>
      <c r="R658" s="16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</row>
    <row r="659" ht="14.2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6"/>
      <c r="Q659" s="16"/>
      <c r="R659" s="16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</row>
    <row r="660" ht="14.2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6"/>
      <c r="Q660" s="16"/>
      <c r="R660" s="16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</row>
    <row r="661" ht="14.2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6"/>
      <c r="Q661" s="16"/>
      <c r="R661" s="16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</row>
    <row r="662" ht="14.2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6"/>
      <c r="Q662" s="16"/>
      <c r="R662" s="16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</row>
    <row r="663" ht="14.2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6"/>
      <c r="Q663" s="16"/>
      <c r="R663" s="16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</row>
    <row r="664" ht="14.2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6"/>
      <c r="Q664" s="16"/>
      <c r="R664" s="16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</row>
    <row r="665" ht="14.2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6"/>
      <c r="Q665" s="16"/>
      <c r="R665" s="16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</row>
    <row r="666" ht="14.2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6"/>
      <c r="Q666" s="16"/>
      <c r="R666" s="16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</row>
    <row r="667" ht="14.2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6"/>
      <c r="Q667" s="16"/>
      <c r="R667" s="16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</row>
    <row r="668" ht="14.2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6"/>
      <c r="Q668" s="16"/>
      <c r="R668" s="16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</row>
    <row r="669" ht="14.2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6"/>
      <c r="Q669" s="16"/>
      <c r="R669" s="16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</row>
    <row r="670" ht="14.2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6"/>
      <c r="Q670" s="16"/>
      <c r="R670" s="16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</row>
    <row r="671" ht="14.2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6"/>
      <c r="Q671" s="16"/>
      <c r="R671" s="16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</row>
    <row r="672" ht="14.2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6"/>
      <c r="Q672" s="16"/>
      <c r="R672" s="16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</row>
    <row r="673" ht="14.2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6"/>
      <c r="Q673" s="16"/>
      <c r="R673" s="16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</row>
    <row r="674" ht="14.2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6"/>
      <c r="Q674" s="16"/>
      <c r="R674" s="16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</row>
    <row r="675" ht="14.2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6"/>
      <c r="Q675" s="16"/>
      <c r="R675" s="16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</row>
    <row r="676" ht="14.2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6"/>
      <c r="Q676" s="16"/>
      <c r="R676" s="16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</row>
    <row r="677" ht="14.2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6"/>
      <c r="Q677" s="16"/>
      <c r="R677" s="16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</row>
    <row r="678" ht="14.2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6"/>
      <c r="Q678" s="16"/>
      <c r="R678" s="16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</row>
    <row r="679" ht="14.2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6"/>
      <c r="Q679" s="16"/>
      <c r="R679" s="16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</row>
    <row r="680" ht="14.2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6"/>
      <c r="Q680" s="16"/>
      <c r="R680" s="16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</row>
    <row r="681" ht="14.2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6"/>
      <c r="Q681" s="16"/>
      <c r="R681" s="16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</row>
    <row r="682" ht="14.2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6"/>
      <c r="Q682" s="16"/>
      <c r="R682" s="16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</row>
    <row r="683" ht="14.2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6"/>
      <c r="Q683" s="16"/>
      <c r="R683" s="16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</row>
    <row r="684" ht="14.2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6"/>
      <c r="Q684" s="16"/>
      <c r="R684" s="16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</row>
    <row r="685" ht="14.2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6"/>
      <c r="Q685" s="16"/>
      <c r="R685" s="16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</row>
    <row r="686" ht="14.2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6"/>
      <c r="Q686" s="16"/>
      <c r="R686" s="16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</row>
    <row r="687" ht="14.2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6"/>
      <c r="Q687" s="16"/>
      <c r="R687" s="16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</row>
    <row r="688" ht="14.2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6"/>
      <c r="Q688" s="16"/>
      <c r="R688" s="16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</row>
    <row r="689" ht="14.2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6"/>
      <c r="Q689" s="16"/>
      <c r="R689" s="16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</row>
    <row r="690" ht="14.2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6"/>
      <c r="Q690" s="16"/>
      <c r="R690" s="16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</row>
    <row r="691" ht="14.2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6"/>
      <c r="Q691" s="16"/>
      <c r="R691" s="16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</row>
    <row r="692" ht="14.2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6"/>
      <c r="Q692" s="16"/>
      <c r="R692" s="16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</row>
    <row r="693" ht="14.2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6"/>
      <c r="Q693" s="16"/>
      <c r="R693" s="16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</row>
    <row r="694" ht="14.2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6"/>
      <c r="Q694" s="16"/>
      <c r="R694" s="16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</row>
    <row r="695" ht="14.2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6"/>
      <c r="Q695" s="16"/>
      <c r="R695" s="16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</row>
    <row r="696" ht="14.2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6"/>
      <c r="Q696" s="16"/>
      <c r="R696" s="16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</row>
    <row r="697" ht="14.2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6"/>
      <c r="Q697" s="16"/>
      <c r="R697" s="16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</row>
    <row r="698" ht="14.2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6"/>
      <c r="Q698" s="16"/>
      <c r="R698" s="16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</row>
    <row r="699" ht="14.2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6"/>
      <c r="Q699" s="16"/>
      <c r="R699" s="16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</row>
    <row r="700" ht="14.2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6"/>
      <c r="Q700" s="16"/>
      <c r="R700" s="16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</row>
    <row r="701" ht="14.2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6"/>
      <c r="Q701" s="16"/>
      <c r="R701" s="16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</row>
    <row r="702" ht="14.2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6"/>
      <c r="Q702" s="16"/>
      <c r="R702" s="16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</row>
    <row r="703" ht="14.2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6"/>
      <c r="Q703" s="16"/>
      <c r="R703" s="16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</row>
    <row r="704" ht="14.2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6"/>
      <c r="Q704" s="16"/>
      <c r="R704" s="16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</row>
    <row r="705" ht="14.2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6"/>
      <c r="Q705" s="16"/>
      <c r="R705" s="16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</row>
    <row r="706" ht="14.2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6"/>
      <c r="Q706" s="16"/>
      <c r="R706" s="16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</row>
    <row r="707" ht="14.2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6"/>
      <c r="Q707" s="16"/>
      <c r="R707" s="16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</row>
    <row r="708" ht="14.2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6"/>
      <c r="Q708" s="16"/>
      <c r="R708" s="16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</row>
    <row r="709" ht="14.2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6"/>
      <c r="Q709" s="16"/>
      <c r="R709" s="16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</row>
    <row r="710" ht="14.2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6"/>
      <c r="Q710" s="16"/>
      <c r="R710" s="16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</row>
    <row r="711" ht="14.2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6"/>
      <c r="Q711" s="16"/>
      <c r="R711" s="16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</row>
    <row r="712" ht="14.2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6"/>
      <c r="Q712" s="16"/>
      <c r="R712" s="16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</row>
    <row r="713" ht="14.2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6"/>
      <c r="Q713" s="16"/>
      <c r="R713" s="16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</row>
    <row r="714" ht="14.2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6"/>
      <c r="Q714" s="16"/>
      <c r="R714" s="16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</row>
    <row r="715" ht="14.2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6"/>
      <c r="Q715" s="16"/>
      <c r="R715" s="16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</row>
    <row r="716" ht="14.2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6"/>
      <c r="Q716" s="16"/>
      <c r="R716" s="16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</row>
    <row r="717" ht="14.2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6"/>
      <c r="Q717" s="16"/>
      <c r="R717" s="16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</row>
    <row r="718" ht="14.2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6"/>
      <c r="Q718" s="16"/>
      <c r="R718" s="16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</row>
    <row r="719" ht="14.2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6"/>
      <c r="Q719" s="16"/>
      <c r="R719" s="16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</row>
    <row r="720" ht="14.2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6"/>
      <c r="Q720" s="16"/>
      <c r="R720" s="16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</row>
    <row r="721" ht="14.2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6"/>
      <c r="Q721" s="16"/>
      <c r="R721" s="16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</row>
    <row r="722" ht="14.2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6"/>
      <c r="Q722" s="16"/>
      <c r="R722" s="16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</row>
    <row r="723" ht="14.2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6"/>
      <c r="Q723" s="16"/>
      <c r="R723" s="16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</row>
    <row r="724" ht="14.2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6"/>
      <c r="Q724" s="16"/>
      <c r="R724" s="16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</row>
    <row r="725" ht="14.2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6"/>
      <c r="Q725" s="16"/>
      <c r="R725" s="16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</row>
    <row r="726" ht="14.2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6"/>
      <c r="Q726" s="16"/>
      <c r="R726" s="16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</row>
    <row r="727" ht="14.2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6"/>
      <c r="Q727" s="16"/>
      <c r="R727" s="16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</row>
    <row r="728" ht="14.2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6"/>
      <c r="Q728" s="16"/>
      <c r="R728" s="16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</row>
    <row r="729" ht="14.2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6"/>
      <c r="Q729" s="16"/>
      <c r="R729" s="16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</row>
    <row r="730" ht="14.2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6"/>
      <c r="Q730" s="16"/>
      <c r="R730" s="16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</row>
    <row r="731" ht="14.2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6"/>
      <c r="Q731" s="16"/>
      <c r="R731" s="16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</row>
    <row r="732" ht="14.2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6"/>
      <c r="Q732" s="16"/>
      <c r="R732" s="16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</row>
    <row r="733" ht="14.2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6"/>
      <c r="Q733" s="16"/>
      <c r="R733" s="16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</row>
    <row r="734" ht="14.2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6"/>
      <c r="Q734" s="16"/>
      <c r="R734" s="16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</row>
    <row r="735" ht="14.2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6"/>
      <c r="Q735" s="16"/>
      <c r="R735" s="16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</row>
    <row r="736" ht="14.2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6"/>
      <c r="Q736" s="16"/>
      <c r="R736" s="16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</row>
    <row r="737" ht="14.2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6"/>
      <c r="Q737" s="16"/>
      <c r="R737" s="16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</row>
    <row r="738" ht="14.2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6"/>
      <c r="Q738" s="16"/>
      <c r="R738" s="16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</row>
    <row r="739" ht="14.2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6"/>
      <c r="Q739" s="16"/>
      <c r="R739" s="16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</row>
    <row r="740" ht="14.2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6"/>
      <c r="Q740" s="16"/>
      <c r="R740" s="16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</row>
    <row r="741" ht="14.2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6"/>
      <c r="Q741" s="16"/>
      <c r="R741" s="16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</row>
    <row r="742" ht="14.2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6"/>
      <c r="Q742" s="16"/>
      <c r="R742" s="16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</row>
    <row r="743" ht="14.2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6"/>
      <c r="Q743" s="16"/>
      <c r="R743" s="16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</row>
    <row r="744" ht="14.2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6"/>
      <c r="Q744" s="16"/>
      <c r="R744" s="16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</row>
    <row r="745" ht="14.2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6"/>
      <c r="Q745" s="16"/>
      <c r="R745" s="16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</row>
    <row r="746" ht="14.2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6"/>
      <c r="Q746" s="16"/>
      <c r="R746" s="16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</row>
    <row r="747" ht="14.2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6"/>
      <c r="Q747" s="16"/>
      <c r="R747" s="16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</row>
    <row r="748" ht="14.2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6"/>
      <c r="Q748" s="16"/>
      <c r="R748" s="16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</row>
    <row r="749" ht="14.2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6"/>
      <c r="Q749" s="16"/>
      <c r="R749" s="16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</row>
    <row r="750" ht="14.2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6"/>
      <c r="Q750" s="16"/>
      <c r="R750" s="16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</row>
    <row r="751" ht="14.2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6"/>
      <c r="Q751" s="16"/>
      <c r="R751" s="16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</row>
    <row r="752" ht="14.2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6"/>
      <c r="Q752" s="16"/>
      <c r="R752" s="16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</row>
    <row r="753" ht="14.2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6"/>
      <c r="Q753" s="16"/>
      <c r="R753" s="16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</row>
    <row r="754" ht="14.2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6"/>
      <c r="Q754" s="16"/>
      <c r="R754" s="16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</row>
    <row r="755" ht="14.2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6"/>
      <c r="Q755" s="16"/>
      <c r="R755" s="16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</row>
    <row r="756" ht="14.2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6"/>
      <c r="Q756" s="16"/>
      <c r="R756" s="16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</row>
    <row r="757" ht="14.2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6"/>
      <c r="Q757" s="16"/>
      <c r="R757" s="16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</row>
    <row r="758" ht="14.2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6"/>
      <c r="Q758" s="16"/>
      <c r="R758" s="16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</row>
    <row r="759" ht="14.2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6"/>
      <c r="Q759" s="16"/>
      <c r="R759" s="16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</row>
    <row r="760" ht="14.2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6"/>
      <c r="Q760" s="16"/>
      <c r="R760" s="16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</row>
    <row r="761" ht="14.2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6"/>
      <c r="Q761" s="16"/>
      <c r="R761" s="16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</row>
    <row r="762" ht="14.2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6"/>
      <c r="Q762" s="16"/>
      <c r="R762" s="16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</row>
    <row r="763" ht="14.2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6"/>
      <c r="Q763" s="16"/>
      <c r="R763" s="16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</row>
    <row r="764" ht="14.2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6"/>
      <c r="Q764" s="16"/>
      <c r="R764" s="16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</row>
    <row r="765" ht="14.2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6"/>
      <c r="Q765" s="16"/>
      <c r="R765" s="16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</row>
    <row r="766" ht="14.2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6"/>
      <c r="Q766" s="16"/>
      <c r="R766" s="16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</row>
    <row r="767" ht="14.2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6"/>
      <c r="Q767" s="16"/>
      <c r="R767" s="16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</row>
    <row r="768" ht="14.2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6"/>
      <c r="Q768" s="16"/>
      <c r="R768" s="16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</row>
    <row r="769" ht="14.2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6"/>
      <c r="Q769" s="16"/>
      <c r="R769" s="16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</row>
    <row r="770" ht="14.2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6"/>
      <c r="Q770" s="16"/>
      <c r="R770" s="16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</row>
    <row r="771" ht="14.2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6"/>
      <c r="Q771" s="16"/>
      <c r="R771" s="16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</row>
    <row r="772" ht="14.2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6"/>
      <c r="Q772" s="16"/>
      <c r="R772" s="16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</row>
    <row r="773" ht="14.2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6"/>
      <c r="Q773" s="16"/>
      <c r="R773" s="16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</row>
    <row r="774" ht="14.2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6"/>
      <c r="Q774" s="16"/>
      <c r="R774" s="16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</row>
    <row r="775" ht="14.2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6"/>
      <c r="Q775" s="16"/>
      <c r="R775" s="16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</row>
    <row r="776" ht="14.2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6"/>
      <c r="Q776" s="16"/>
      <c r="R776" s="16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</row>
    <row r="777" ht="14.2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6"/>
      <c r="Q777" s="16"/>
      <c r="R777" s="16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</row>
    <row r="778" ht="14.2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6"/>
      <c r="Q778" s="16"/>
      <c r="R778" s="16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</row>
    <row r="779" ht="14.2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6"/>
      <c r="Q779" s="16"/>
      <c r="R779" s="16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</row>
    <row r="780" ht="14.2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6"/>
      <c r="Q780" s="16"/>
      <c r="R780" s="16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</row>
    <row r="781" ht="14.2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6"/>
      <c r="Q781" s="16"/>
      <c r="R781" s="16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</row>
    <row r="782" ht="14.2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6"/>
      <c r="Q782" s="16"/>
      <c r="R782" s="16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</row>
    <row r="783" ht="14.2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6"/>
      <c r="Q783" s="16"/>
      <c r="R783" s="16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</row>
    <row r="784" ht="14.2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6"/>
      <c r="Q784" s="16"/>
      <c r="R784" s="16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</row>
    <row r="785" ht="14.2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6"/>
      <c r="Q785" s="16"/>
      <c r="R785" s="16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</row>
    <row r="786" ht="14.2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6"/>
      <c r="Q786" s="16"/>
      <c r="R786" s="16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</row>
    <row r="787" ht="14.2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6"/>
      <c r="Q787" s="16"/>
      <c r="R787" s="16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</row>
    <row r="788" ht="14.2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6"/>
      <c r="Q788" s="16"/>
      <c r="R788" s="16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</row>
    <row r="789" ht="14.2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6"/>
      <c r="Q789" s="16"/>
      <c r="R789" s="16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</row>
    <row r="790" ht="14.2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6"/>
      <c r="Q790" s="16"/>
      <c r="R790" s="16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</row>
    <row r="791" ht="14.2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6"/>
      <c r="Q791" s="16"/>
      <c r="R791" s="16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</row>
    <row r="792" ht="14.2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6"/>
      <c r="Q792" s="16"/>
      <c r="R792" s="16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</row>
    <row r="793" ht="14.2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6"/>
      <c r="Q793" s="16"/>
      <c r="R793" s="16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</row>
    <row r="794" ht="14.2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6"/>
      <c r="Q794" s="16"/>
      <c r="R794" s="16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</row>
    <row r="795" ht="14.2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6"/>
      <c r="Q795" s="16"/>
      <c r="R795" s="16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</row>
    <row r="796" ht="14.2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6"/>
      <c r="Q796" s="16"/>
      <c r="R796" s="16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</row>
    <row r="797" ht="14.2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6"/>
      <c r="Q797" s="16"/>
      <c r="R797" s="16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</row>
    <row r="798" ht="14.2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6"/>
      <c r="Q798" s="16"/>
      <c r="R798" s="16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</row>
    <row r="799" ht="14.2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6"/>
      <c r="Q799" s="16"/>
      <c r="R799" s="16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</row>
    <row r="800" ht="14.2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6"/>
      <c r="Q800" s="16"/>
      <c r="R800" s="16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</row>
    <row r="801" ht="14.2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6"/>
      <c r="Q801" s="16"/>
      <c r="R801" s="16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</row>
    <row r="802" ht="14.2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6"/>
      <c r="Q802" s="16"/>
      <c r="R802" s="16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</row>
    <row r="803" ht="14.2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6"/>
      <c r="Q803" s="16"/>
      <c r="R803" s="16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</row>
    <row r="804" ht="14.2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6"/>
      <c r="Q804" s="16"/>
      <c r="R804" s="16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</row>
    <row r="805" ht="14.2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6"/>
      <c r="Q805" s="16"/>
      <c r="R805" s="16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</row>
    <row r="806" ht="14.2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6"/>
      <c r="Q806" s="16"/>
      <c r="R806" s="16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</row>
    <row r="807" ht="14.2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6"/>
      <c r="Q807" s="16"/>
      <c r="R807" s="16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</row>
    <row r="808" ht="14.2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6"/>
      <c r="Q808" s="16"/>
      <c r="R808" s="16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</row>
    <row r="809" ht="14.2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6"/>
      <c r="Q809" s="16"/>
      <c r="R809" s="16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</row>
    <row r="810" ht="14.2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6"/>
      <c r="Q810" s="16"/>
      <c r="R810" s="16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</row>
    <row r="811" ht="14.2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6"/>
      <c r="Q811" s="16"/>
      <c r="R811" s="16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</row>
    <row r="812" ht="14.2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6"/>
      <c r="Q812" s="16"/>
      <c r="R812" s="16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</row>
    <row r="813" ht="14.2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6"/>
      <c r="Q813" s="16"/>
      <c r="R813" s="16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</row>
    <row r="814" ht="14.2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6"/>
      <c r="Q814" s="16"/>
      <c r="R814" s="16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</row>
    <row r="815" ht="14.2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6"/>
      <c r="Q815" s="16"/>
      <c r="R815" s="16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</row>
    <row r="816" ht="14.2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6"/>
      <c r="Q816" s="16"/>
      <c r="R816" s="16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</row>
    <row r="817" ht="14.2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6"/>
      <c r="Q817" s="16"/>
      <c r="R817" s="16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</row>
    <row r="818" ht="14.2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6"/>
      <c r="Q818" s="16"/>
      <c r="R818" s="16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</row>
    <row r="819" ht="14.2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6"/>
      <c r="Q819" s="16"/>
      <c r="R819" s="16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</row>
    <row r="820" ht="14.2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6"/>
      <c r="Q820" s="16"/>
      <c r="R820" s="16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</row>
    <row r="821" ht="14.2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6"/>
      <c r="Q821" s="16"/>
      <c r="R821" s="16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</row>
    <row r="822" ht="14.2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6"/>
      <c r="Q822" s="16"/>
      <c r="R822" s="16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</row>
    <row r="823" ht="14.2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6"/>
      <c r="Q823" s="16"/>
      <c r="R823" s="16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</row>
    <row r="824" ht="14.2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6"/>
      <c r="Q824" s="16"/>
      <c r="R824" s="16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</row>
    <row r="825" ht="14.2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6"/>
      <c r="Q825" s="16"/>
      <c r="R825" s="16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</row>
    <row r="826" ht="14.2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6"/>
      <c r="Q826" s="16"/>
      <c r="R826" s="16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</row>
    <row r="827" ht="14.2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6"/>
      <c r="Q827" s="16"/>
      <c r="R827" s="16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</row>
    <row r="828" ht="14.2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6"/>
      <c r="Q828" s="16"/>
      <c r="R828" s="16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</row>
    <row r="829" ht="14.2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6"/>
      <c r="Q829" s="16"/>
      <c r="R829" s="16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</row>
    <row r="830" ht="14.2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6"/>
      <c r="Q830" s="16"/>
      <c r="R830" s="16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</row>
    <row r="831" ht="14.2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6"/>
      <c r="Q831" s="16"/>
      <c r="R831" s="16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</row>
    <row r="832" ht="14.2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6"/>
      <c r="Q832" s="16"/>
      <c r="R832" s="16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</row>
    <row r="833" ht="14.2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6"/>
      <c r="Q833" s="16"/>
      <c r="R833" s="16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</row>
    <row r="834" ht="14.2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6"/>
      <c r="Q834" s="16"/>
      <c r="R834" s="16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</row>
    <row r="835" ht="14.2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6"/>
      <c r="Q835" s="16"/>
      <c r="R835" s="16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</row>
    <row r="836" ht="14.2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6"/>
      <c r="Q836" s="16"/>
      <c r="R836" s="16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</row>
    <row r="837" ht="14.2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6"/>
      <c r="Q837" s="16"/>
      <c r="R837" s="16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</row>
    <row r="838" ht="14.2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6"/>
      <c r="Q838" s="16"/>
      <c r="R838" s="16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</row>
    <row r="839" ht="14.2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6"/>
      <c r="Q839" s="16"/>
      <c r="R839" s="16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</row>
    <row r="840" ht="14.2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6"/>
      <c r="Q840" s="16"/>
      <c r="R840" s="16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</row>
    <row r="841" ht="14.2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6"/>
      <c r="Q841" s="16"/>
      <c r="R841" s="16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</row>
    <row r="842" ht="14.2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6"/>
      <c r="Q842" s="16"/>
      <c r="R842" s="16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</row>
    <row r="843" ht="14.2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6"/>
      <c r="Q843" s="16"/>
      <c r="R843" s="16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</row>
    <row r="844" ht="14.2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6"/>
      <c r="Q844" s="16"/>
      <c r="R844" s="16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</row>
    <row r="845" ht="14.2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6"/>
      <c r="Q845" s="16"/>
      <c r="R845" s="16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</row>
    <row r="846" ht="14.2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6"/>
      <c r="Q846" s="16"/>
      <c r="R846" s="16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</row>
    <row r="847" ht="14.2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6"/>
      <c r="Q847" s="16"/>
      <c r="R847" s="16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</row>
    <row r="848" ht="14.2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6"/>
      <c r="Q848" s="16"/>
      <c r="R848" s="16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</row>
    <row r="849" ht="14.2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6"/>
      <c r="Q849" s="16"/>
      <c r="R849" s="16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</row>
    <row r="850" ht="14.2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6"/>
      <c r="Q850" s="16"/>
      <c r="R850" s="16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</row>
    <row r="851" ht="14.2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6"/>
      <c r="Q851" s="16"/>
      <c r="R851" s="16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</row>
    <row r="852" ht="14.2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6"/>
      <c r="Q852" s="16"/>
      <c r="R852" s="16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</row>
    <row r="853" ht="14.2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6"/>
      <c r="Q853" s="16"/>
      <c r="R853" s="16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</row>
    <row r="854" ht="14.2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6"/>
      <c r="Q854" s="16"/>
      <c r="R854" s="16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</row>
    <row r="855" ht="14.2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6"/>
      <c r="Q855" s="16"/>
      <c r="R855" s="16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</row>
    <row r="856" ht="14.2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6"/>
      <c r="Q856" s="16"/>
      <c r="R856" s="16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</row>
    <row r="857" ht="14.2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6"/>
      <c r="Q857" s="16"/>
      <c r="R857" s="16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</row>
    <row r="858" ht="14.2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6"/>
      <c r="Q858" s="16"/>
      <c r="R858" s="16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</row>
    <row r="859" ht="14.2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6"/>
      <c r="Q859" s="16"/>
      <c r="R859" s="16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</row>
    <row r="860" ht="14.2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6"/>
      <c r="Q860" s="16"/>
      <c r="R860" s="16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</row>
    <row r="861" ht="14.2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6"/>
      <c r="Q861" s="16"/>
      <c r="R861" s="16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</row>
    <row r="862" ht="14.2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6"/>
      <c r="Q862" s="16"/>
      <c r="R862" s="16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</row>
    <row r="863" ht="14.2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6"/>
      <c r="Q863" s="16"/>
      <c r="R863" s="16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</row>
    <row r="864" ht="14.2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6"/>
      <c r="Q864" s="16"/>
      <c r="R864" s="16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</row>
    <row r="865" ht="14.2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6"/>
      <c r="Q865" s="16"/>
      <c r="R865" s="16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</row>
    <row r="866" ht="14.2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6"/>
      <c r="Q866" s="16"/>
      <c r="R866" s="16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</row>
    <row r="867" ht="14.2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6"/>
      <c r="Q867" s="16"/>
      <c r="R867" s="16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</row>
    <row r="868" ht="14.2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6"/>
      <c r="Q868" s="16"/>
      <c r="R868" s="16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</row>
    <row r="869" ht="14.2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6"/>
      <c r="Q869" s="16"/>
      <c r="R869" s="16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</row>
    <row r="870" ht="14.2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6"/>
      <c r="Q870" s="16"/>
      <c r="R870" s="16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</row>
    <row r="871" ht="14.2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6"/>
      <c r="Q871" s="16"/>
      <c r="R871" s="16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</row>
    <row r="872" ht="14.2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6"/>
      <c r="Q872" s="16"/>
      <c r="R872" s="16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</row>
    <row r="873" ht="14.2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6"/>
      <c r="Q873" s="16"/>
      <c r="R873" s="16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</row>
    <row r="874" ht="14.2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6"/>
      <c r="Q874" s="16"/>
      <c r="R874" s="16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</row>
    <row r="875" ht="14.2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6"/>
      <c r="Q875" s="16"/>
      <c r="R875" s="16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</row>
    <row r="876" ht="14.2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6"/>
      <c r="Q876" s="16"/>
      <c r="R876" s="16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</row>
    <row r="877" ht="14.2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6"/>
      <c r="Q877" s="16"/>
      <c r="R877" s="16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</row>
    <row r="878" ht="14.2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6"/>
      <c r="Q878" s="16"/>
      <c r="R878" s="16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</row>
    <row r="879" ht="14.2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6"/>
      <c r="Q879" s="16"/>
      <c r="R879" s="16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</row>
    <row r="880" ht="14.2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6"/>
      <c r="Q880" s="16"/>
      <c r="R880" s="16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</row>
    <row r="881" ht="14.2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6"/>
      <c r="Q881" s="16"/>
      <c r="R881" s="16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</row>
    <row r="882" ht="14.2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6"/>
      <c r="Q882" s="16"/>
      <c r="R882" s="16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</row>
    <row r="883" ht="14.2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6"/>
      <c r="Q883" s="16"/>
      <c r="R883" s="16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</row>
    <row r="884" ht="14.2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6"/>
      <c r="Q884" s="16"/>
      <c r="R884" s="16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</row>
    <row r="885" ht="14.2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6"/>
      <c r="Q885" s="16"/>
      <c r="R885" s="16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</row>
    <row r="886" ht="14.2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6"/>
      <c r="Q886" s="16"/>
      <c r="R886" s="16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</row>
    <row r="887" ht="14.2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6"/>
      <c r="Q887" s="16"/>
      <c r="R887" s="16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</row>
    <row r="888" ht="14.2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6"/>
      <c r="Q888" s="16"/>
      <c r="R888" s="16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</row>
    <row r="889" ht="14.2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6"/>
      <c r="Q889" s="16"/>
      <c r="R889" s="16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</row>
    <row r="890" ht="14.2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6"/>
      <c r="Q890" s="16"/>
      <c r="R890" s="16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</row>
    <row r="891" ht="14.2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6"/>
      <c r="Q891" s="16"/>
      <c r="R891" s="16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</row>
    <row r="892" ht="14.2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6"/>
      <c r="Q892" s="16"/>
      <c r="R892" s="16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</row>
    <row r="893" ht="14.2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6"/>
      <c r="Q893" s="16"/>
      <c r="R893" s="16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</row>
    <row r="894" ht="14.2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6"/>
      <c r="Q894" s="16"/>
      <c r="R894" s="16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</row>
    <row r="895" ht="14.2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6"/>
      <c r="Q895" s="16"/>
      <c r="R895" s="16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</row>
    <row r="896" ht="14.2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6"/>
      <c r="Q896" s="16"/>
      <c r="R896" s="16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</row>
    <row r="897" ht="14.2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6"/>
      <c r="Q897" s="16"/>
      <c r="R897" s="16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</row>
    <row r="898" ht="14.2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6"/>
      <c r="Q898" s="16"/>
      <c r="R898" s="16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</row>
    <row r="899" ht="14.2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6"/>
      <c r="Q899" s="16"/>
      <c r="R899" s="16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</row>
    <row r="900" ht="14.2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6"/>
      <c r="Q900" s="16"/>
      <c r="R900" s="16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</row>
    <row r="901" ht="14.2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6"/>
      <c r="Q901" s="16"/>
      <c r="R901" s="16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</row>
    <row r="902" ht="14.2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6"/>
      <c r="Q902" s="16"/>
      <c r="R902" s="16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</row>
    <row r="903" ht="14.2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6"/>
      <c r="Q903" s="16"/>
      <c r="R903" s="16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</row>
    <row r="904" ht="14.2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6"/>
      <c r="Q904" s="16"/>
      <c r="R904" s="16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</row>
    <row r="905" ht="14.2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6"/>
      <c r="Q905" s="16"/>
      <c r="R905" s="16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</row>
    <row r="906" ht="14.2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6"/>
      <c r="Q906" s="16"/>
      <c r="R906" s="16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</row>
    <row r="907" ht="14.2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6"/>
      <c r="Q907" s="16"/>
      <c r="R907" s="16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</row>
    <row r="908" ht="14.2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6"/>
      <c r="Q908" s="16"/>
      <c r="R908" s="16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</row>
    <row r="909" ht="14.2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6"/>
      <c r="Q909" s="16"/>
      <c r="R909" s="16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</row>
    <row r="910" ht="14.2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6"/>
      <c r="Q910" s="16"/>
      <c r="R910" s="16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</row>
    <row r="911" ht="14.2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6"/>
      <c r="Q911" s="16"/>
      <c r="R911" s="16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</row>
    <row r="912" ht="14.2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6"/>
      <c r="Q912" s="16"/>
      <c r="R912" s="16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</row>
    <row r="913" ht="14.2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6"/>
      <c r="Q913" s="16"/>
      <c r="R913" s="16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</row>
    <row r="914" ht="14.2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6"/>
      <c r="Q914" s="16"/>
      <c r="R914" s="16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</row>
    <row r="915" ht="14.2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6"/>
      <c r="Q915" s="16"/>
      <c r="R915" s="16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</row>
    <row r="916" ht="14.2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6"/>
      <c r="Q916" s="16"/>
      <c r="R916" s="16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</row>
    <row r="917" ht="14.2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6"/>
      <c r="Q917" s="16"/>
      <c r="R917" s="16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</row>
    <row r="918" ht="14.2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6"/>
      <c r="Q918" s="16"/>
      <c r="R918" s="16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</row>
    <row r="919" ht="14.2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6"/>
      <c r="Q919" s="16"/>
      <c r="R919" s="16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</row>
    <row r="920" ht="14.2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6"/>
      <c r="Q920" s="16"/>
      <c r="R920" s="16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</row>
    <row r="921" ht="14.2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6"/>
      <c r="Q921" s="16"/>
      <c r="R921" s="16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</row>
    <row r="922" ht="14.2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6"/>
      <c r="Q922" s="16"/>
      <c r="R922" s="16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</row>
    <row r="923" ht="14.2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6"/>
      <c r="Q923" s="16"/>
      <c r="R923" s="16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</row>
    <row r="924" ht="14.2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6"/>
      <c r="Q924" s="16"/>
      <c r="R924" s="16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</row>
    <row r="925" ht="14.2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6"/>
      <c r="Q925" s="16"/>
      <c r="R925" s="16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</row>
    <row r="926" ht="14.2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6"/>
      <c r="Q926" s="16"/>
      <c r="R926" s="16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</row>
    <row r="927" ht="14.2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6"/>
      <c r="Q927" s="16"/>
      <c r="R927" s="16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</row>
    <row r="928" ht="14.2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6"/>
      <c r="Q928" s="16"/>
      <c r="R928" s="16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</row>
    <row r="929" ht="14.2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6"/>
      <c r="Q929" s="16"/>
      <c r="R929" s="16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</row>
    <row r="930" ht="14.2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6"/>
      <c r="Q930" s="16"/>
      <c r="R930" s="16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</row>
    <row r="931" ht="14.2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6"/>
      <c r="Q931" s="16"/>
      <c r="R931" s="16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</row>
    <row r="932" ht="14.2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6"/>
      <c r="Q932" s="16"/>
      <c r="R932" s="16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</row>
    <row r="933" ht="14.2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6"/>
      <c r="Q933" s="16"/>
      <c r="R933" s="16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</row>
    <row r="934" ht="14.2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6"/>
      <c r="Q934" s="16"/>
      <c r="R934" s="16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</row>
    <row r="935" ht="14.2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6"/>
      <c r="Q935" s="16"/>
      <c r="R935" s="16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</row>
    <row r="936" ht="14.2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6"/>
      <c r="Q936" s="16"/>
      <c r="R936" s="16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</row>
    <row r="937" ht="14.2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6"/>
      <c r="Q937" s="16"/>
      <c r="R937" s="16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</row>
    <row r="938" ht="14.2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6"/>
      <c r="Q938" s="16"/>
      <c r="R938" s="16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</row>
    <row r="939" ht="14.2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6"/>
      <c r="Q939" s="16"/>
      <c r="R939" s="16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</row>
    <row r="940" ht="14.2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6"/>
      <c r="Q940" s="16"/>
      <c r="R940" s="16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</row>
    <row r="941" ht="14.2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6"/>
      <c r="Q941" s="16"/>
      <c r="R941" s="16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</row>
    <row r="942" ht="14.2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6"/>
      <c r="Q942" s="16"/>
      <c r="R942" s="16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</row>
    <row r="943" ht="14.2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6"/>
      <c r="Q943" s="16"/>
      <c r="R943" s="16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</row>
    <row r="944" ht="14.2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6"/>
      <c r="Q944" s="16"/>
      <c r="R944" s="16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</row>
    <row r="945" ht="14.2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6"/>
      <c r="Q945" s="16"/>
      <c r="R945" s="16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</row>
    <row r="946" ht="14.2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6"/>
      <c r="Q946" s="16"/>
      <c r="R946" s="16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</row>
    <row r="947" ht="14.2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6"/>
      <c r="Q947" s="16"/>
      <c r="R947" s="16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</row>
    <row r="948" ht="14.2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6"/>
      <c r="Q948" s="16"/>
      <c r="R948" s="16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</row>
    <row r="949" ht="14.2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6"/>
      <c r="Q949" s="16"/>
      <c r="R949" s="16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</row>
    <row r="950" ht="14.2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6"/>
      <c r="Q950" s="16"/>
      <c r="R950" s="16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</row>
    <row r="951" ht="14.2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6"/>
      <c r="Q951" s="16"/>
      <c r="R951" s="16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</row>
    <row r="952" ht="14.2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6"/>
      <c r="Q952" s="16"/>
      <c r="R952" s="16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</row>
    <row r="953" ht="14.2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6"/>
      <c r="Q953" s="16"/>
      <c r="R953" s="16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</row>
    <row r="954" ht="14.2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6"/>
      <c r="Q954" s="16"/>
      <c r="R954" s="16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</row>
    <row r="955" ht="14.2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6"/>
      <c r="Q955" s="16"/>
      <c r="R955" s="16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</row>
    <row r="956" ht="14.2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6"/>
      <c r="Q956" s="16"/>
      <c r="R956" s="16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</row>
    <row r="957" ht="14.2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6"/>
      <c r="Q957" s="16"/>
      <c r="R957" s="16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</row>
    <row r="958" ht="14.2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6"/>
      <c r="Q958" s="16"/>
      <c r="R958" s="16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</row>
    <row r="959" ht="14.2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6"/>
      <c r="Q959" s="16"/>
      <c r="R959" s="16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</row>
    <row r="960" ht="14.2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6"/>
      <c r="Q960" s="16"/>
      <c r="R960" s="16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</row>
    <row r="961" ht="14.2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6"/>
      <c r="Q961" s="16"/>
      <c r="R961" s="16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</row>
    <row r="962" ht="14.2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6"/>
      <c r="Q962" s="16"/>
      <c r="R962" s="16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</row>
    <row r="963" ht="14.2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6"/>
      <c r="Q963" s="16"/>
      <c r="R963" s="16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</row>
    <row r="964" ht="14.2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6"/>
      <c r="Q964" s="16"/>
      <c r="R964" s="16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</row>
    <row r="965" ht="14.2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6"/>
      <c r="Q965" s="16"/>
      <c r="R965" s="16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</row>
    <row r="966" ht="14.2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6"/>
      <c r="Q966" s="16"/>
      <c r="R966" s="16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</row>
    <row r="967" ht="14.2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6"/>
      <c r="Q967" s="16"/>
      <c r="R967" s="16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</row>
    <row r="968" ht="14.2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6"/>
      <c r="Q968" s="16"/>
      <c r="R968" s="16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</row>
    <row r="969" ht="14.2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6"/>
      <c r="Q969" s="16"/>
      <c r="R969" s="16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</row>
    <row r="970" ht="14.2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6"/>
      <c r="Q970" s="16"/>
      <c r="R970" s="16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</row>
    <row r="971" ht="14.2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6"/>
      <c r="Q971" s="16"/>
      <c r="R971" s="16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</row>
    <row r="972" ht="14.2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6"/>
      <c r="Q972" s="16"/>
      <c r="R972" s="16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</row>
    <row r="973" ht="14.2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6"/>
      <c r="Q973" s="16"/>
      <c r="R973" s="16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</row>
    <row r="974" ht="14.2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6"/>
      <c r="Q974" s="16"/>
      <c r="R974" s="16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</row>
    <row r="975" ht="14.2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6"/>
      <c r="Q975" s="16"/>
      <c r="R975" s="16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</row>
    <row r="976" ht="14.2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6"/>
      <c r="Q976" s="16"/>
      <c r="R976" s="16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</row>
    <row r="977" ht="14.2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6"/>
      <c r="Q977" s="16"/>
      <c r="R977" s="16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</row>
    <row r="978" ht="14.2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6"/>
      <c r="Q978" s="16"/>
      <c r="R978" s="16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</row>
    <row r="979" ht="14.2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6"/>
      <c r="Q979" s="16"/>
      <c r="R979" s="16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</row>
    <row r="980" ht="14.2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6"/>
      <c r="Q980" s="16"/>
      <c r="R980" s="16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</row>
    <row r="981" ht="14.2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6"/>
      <c r="Q981" s="16"/>
      <c r="R981" s="16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</row>
    <row r="982" ht="14.2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6"/>
      <c r="Q982" s="16"/>
      <c r="R982" s="16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</row>
    <row r="983" ht="14.2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6"/>
      <c r="Q983" s="16"/>
      <c r="R983" s="16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</row>
    <row r="984" ht="14.2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6"/>
      <c r="Q984" s="16"/>
      <c r="R984" s="16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</row>
    <row r="985" ht="14.2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6"/>
      <c r="Q985" s="16"/>
      <c r="R985" s="16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</row>
    <row r="986" ht="14.2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6"/>
      <c r="Q986" s="16"/>
      <c r="R986" s="16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</row>
    <row r="987" ht="14.2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6"/>
      <c r="Q987" s="16"/>
      <c r="R987" s="16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</row>
    <row r="988" ht="14.2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6"/>
      <c r="Q988" s="16"/>
      <c r="R988" s="16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</row>
    <row r="989" ht="14.2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6"/>
      <c r="Q989" s="16"/>
      <c r="R989" s="16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</row>
    <row r="990" ht="14.2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6"/>
      <c r="Q990" s="16"/>
      <c r="R990" s="16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</row>
    <row r="991" ht="14.2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6"/>
      <c r="Q991" s="16"/>
      <c r="R991" s="16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</row>
    <row r="992" ht="14.2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6"/>
      <c r="Q992" s="16"/>
      <c r="R992" s="16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</row>
    <row r="993" ht="14.2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6"/>
      <c r="Q993" s="16"/>
      <c r="R993" s="16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</row>
    <row r="994" ht="14.2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6"/>
      <c r="Q994" s="16"/>
      <c r="R994" s="16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</row>
    <row r="995" ht="14.2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6"/>
      <c r="Q995" s="16"/>
      <c r="R995" s="16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</row>
    <row r="996" ht="14.2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6"/>
      <c r="Q996" s="16"/>
      <c r="R996" s="16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</row>
    <row r="997" ht="14.2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6"/>
      <c r="Q997" s="16"/>
      <c r="R997" s="16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</row>
    <row r="998" ht="14.2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6"/>
      <c r="Q998" s="16"/>
      <c r="R998" s="16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</row>
    <row r="999" ht="14.2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6"/>
      <c r="Q999" s="16"/>
      <c r="R999" s="16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</row>
    <row r="1000" ht="14.2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6"/>
      <c r="Q1000" s="16"/>
      <c r="R1000" s="16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</row>
  </sheetData>
  <autoFilter ref="$A$1:$AD$1000"/>
  <printOptions/>
  <pageMargins bottom="0.75" footer="0.0" header="0.0" left="0.7" right="0.7" top="0.75"/>
  <pageSetup orientation="landscape"/>
  <drawing r:id="rId1"/>
</worksheet>
</file>